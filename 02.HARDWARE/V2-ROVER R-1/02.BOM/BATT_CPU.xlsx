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TT_CPU"/>
    <sheet r:id="rId2" sheetId="2" name="_HISTORY"/>
    <sheet r:id="rId3" sheetId="3" name="CONTACT INFO"/>
  </sheets>
  <calcPr fullCalcOnLoad="1"/>
</workbook>
</file>

<file path=xl/sharedStrings.xml><?xml version="1.0" encoding="utf-8"?>
<sst xmlns="http://schemas.openxmlformats.org/spreadsheetml/2006/main" count="216" uniqueCount="128">
  <si>
    <t>Document property of:</t>
  </si>
  <si>
    <t>EXINOM CORE SL</t>
  </si>
  <si>
    <t>Calle Aranjuez, 513</t>
  </si>
  <si>
    <t>Alcala de Henares</t>
  </si>
  <si>
    <t>Spain</t>
  </si>
  <si>
    <t>mail</t>
  </si>
  <si>
    <t>david@exinom.com</t>
  </si>
  <si>
    <t>mobile</t>
  </si>
  <si>
    <t xml:space="preserve"> +34 603486681</t>
  </si>
  <si>
    <t>HISTORY</t>
  </si>
  <si>
    <t>version</t>
  </si>
  <si>
    <t>fecha</t>
  </si>
  <si>
    <t>autor</t>
  </si>
  <si>
    <t>cambios</t>
  </si>
  <si>
    <t>JRC</t>
  </si>
  <si>
    <t>Creacion</t>
  </si>
  <si>
    <t>DGB</t>
  </si>
  <si>
    <t>Añadida descripcion de componentes y numero de posicion</t>
  </si>
  <si>
    <t>Se añade en la posicion 12 el part C28 aumentando la cantidad a 17</t>
  </si>
  <si>
    <t>Se cambia L7 a resistencia 0R. Se añade voltaje y dielectrico de los condensadores. Se corrige encapsulado de pos14. Borrada pos17 se añade 1 a pos15</t>
  </si>
  <si>
    <t>Se añade la posicion 26</t>
  </si>
  <si>
    <t>Se añade R19 a la posicion 16.
Se crea la poscion 27 añadiendo IC1.</t>
  </si>
  <si>
    <t>Se crea la posicion 28 C6 y C8 cambian su valor de 2u2 a 10u
se crea la posicion 29 con el part R20
Se crea la posicion 30 con el part R21
La posicion 6 aumenta en 1 con el part C29</t>
  </si>
  <si>
    <t>Se cambia el valor de R48 de 10k a 1k. Se decrementa en 1 la cantidad de la posicion 15 a 4  y se aumenta en una la posicion 16 a 3
Se cambia el valor de R18 de 100k a 10k. Se crea la posicion 31 y se disminuye la poscion 16 a 2.</t>
  </si>
  <si>
    <t>Se elimina el part U2 y por tanto, se elimina la posicion 27</t>
  </si>
  <si>
    <t>Se actualiza la columna de NEW para que SETI tenga los cambios actualizados contra la version anterior (7)</t>
  </si>
  <si>
    <t>Se cambia el valor de R11 de 8k2 a 11k.</t>
  </si>
  <si>
    <t>Se añade la posicion 32 con el part R22 de 7k5 con cantidad 1.</t>
  </si>
  <si>
    <t>BOM Version</t>
  </si>
  <si>
    <t>BATT_CPU_BOOM</t>
  </si>
  <si>
    <t>Position</t>
  </si>
  <si>
    <t>NEW</t>
  </si>
  <si>
    <t>Qty</t>
  </si>
  <si>
    <t>Part</t>
  </si>
  <si>
    <t>Value</t>
  </si>
  <si>
    <t>Device</t>
  </si>
  <si>
    <t>Package</t>
  </si>
  <si>
    <t>Link</t>
  </si>
  <si>
    <t>NO</t>
  </si>
  <si>
    <t>BZ1</t>
  </si>
  <si>
    <t>PKMCS0909E4000-R1</t>
  </si>
  <si>
    <t>BUZZER</t>
  </si>
  <si>
    <t>PKMCS0909</t>
  </si>
  <si>
    <t>https://www.digikey.es/es/products/detail/murata-electronics/PKMCS0909E4000-R1/4878400?s=N4IgTCBcDaIAoGkCyBhAygBgJzYKIBYMiBaAJQEYQBdAXyA</t>
  </si>
  <si>
    <t>C1, C14, C20</t>
  </si>
  <si>
    <t>2.2uF, 16V, X7R</t>
  </si>
  <si>
    <t>CAPACITOR</t>
  </si>
  <si>
    <t>SMD 0603</t>
  </si>
  <si>
    <t>C12, C23</t>
  </si>
  <si>
    <t>1.0uF, 16V, X7R</t>
  </si>
  <si>
    <t>SMD 0402</t>
  </si>
  <si>
    <t>C2, C4</t>
  </si>
  <si>
    <t>22pF, 16V, C0G</t>
  </si>
  <si>
    <t>C21, C22</t>
  </si>
  <si>
    <t>4.7uF, 16V, X7R</t>
  </si>
  <si>
    <t>C3, C5, C7, C9, C10, C11, C13, C15, C16, C17, C18, C19, C24, C25, C26, C27,C28,C29</t>
  </si>
  <si>
    <t>100nF, 25V, X7R o X5R</t>
  </si>
  <si>
    <t>L7</t>
  </si>
  <si>
    <t>0R</t>
  </si>
  <si>
    <t>RESISTOR</t>
  </si>
  <si>
    <t>SMD 0805</t>
  </si>
  <si>
    <t>Q1, Q2, Q5</t>
  </si>
  <si>
    <t>BSS84W-7-F</t>
  </si>
  <si>
    <t>TRANSISTOR</t>
  </si>
  <si>
    <t>SOT323</t>
  </si>
  <si>
    <t>https://www.digikey.es/es/products/detail/diodes-incorporated/BSS84W-7-F/806539?s=N4IgTCBcDaIEIGUEA4AsB1AtAdkwMRAF0BfIA</t>
  </si>
  <si>
    <t>Q3, Q4</t>
  </si>
  <si>
    <t>2N7002PW</t>
  </si>
  <si>
    <t>https://www.digikey.es/es/products/detail/nexperia-usa-inc/2N7002PW-115/2296328?s=N4IgTCBcDa4HYHYAMSwAcDuIC6BfIA</t>
  </si>
  <si>
    <t>R1, R2, R6</t>
  </si>
  <si>
    <t>4k7</t>
  </si>
  <si>
    <t>R10</t>
  </si>
  <si>
    <t>120k</t>
  </si>
  <si>
    <t>YES</t>
  </si>
  <si>
    <t>R11</t>
  </si>
  <si>
    <t>11k</t>
  </si>
  <si>
    <t>R17</t>
  </si>
  <si>
    <t>150k</t>
  </si>
  <si>
    <t>R3</t>
  </si>
  <si>
    <t>560k</t>
  </si>
  <si>
    <t>R4, R5, R14, R16</t>
  </si>
  <si>
    <t>100k</t>
  </si>
  <si>
    <t>R19,R18</t>
  </si>
  <si>
    <t>10k</t>
  </si>
  <si>
    <t>deleted</t>
  </si>
  <si>
    <t>R7, R9, R12</t>
  </si>
  <si>
    <t>2k2</t>
  </si>
  <si>
    <t>R8, R13, R15</t>
  </si>
  <si>
    <t>100R</t>
  </si>
  <si>
    <t>S1, S2, S3</t>
  </si>
  <si>
    <t>PTS526_SKG15_SMTR2_LFS</t>
  </si>
  <si>
    <t>MOMENTARY SWITCH</t>
  </si>
  <si>
    <t>PTS526SKG15SMTR2LFS</t>
  </si>
  <si>
    <t>https://www.digikey.es/es/products/detail/c-k/PTS526-SKG15-SMTR2-LFS/10056628</t>
  </si>
  <si>
    <t>U1</t>
  </si>
  <si>
    <t>ATSAMD21G18_QFN</t>
  </si>
  <si>
    <t>INTEGRATED CIRCUIT</t>
  </si>
  <si>
    <t>TQFN48_7MM</t>
  </si>
  <si>
    <t>U3</t>
  </si>
  <si>
    <t>TPS78230DDCR</t>
  </si>
  <si>
    <t>SOT95P280X110-5N</t>
  </si>
  <si>
    <t>U6</t>
  </si>
  <si>
    <t>MAX9062EUK+T</t>
  </si>
  <si>
    <t>SOT-753</t>
  </si>
  <si>
    <t>https://www.digikey.es/es/products/detail/analog-devices-inc-maxim-integrated/MAX9062EUK-T/1937837</t>
  </si>
  <si>
    <t>U8</t>
  </si>
  <si>
    <t>SN74LVC1G19DBVR</t>
  </si>
  <si>
    <t>SOT23-6</t>
  </si>
  <si>
    <t>https://www.digikey.es/es/products/detail/texas-instruments/SN74LVC1G19DBVR/654738?s=N4IgTCBcDaIMoDkDsAWAMgNQMIEYDiOAnACIBCGASiALoC%2BQA</t>
  </si>
  <si>
    <t>X2</t>
  </si>
  <si>
    <t>32768 HZ</t>
  </si>
  <si>
    <t>CRYSTAL</t>
  </si>
  <si>
    <t>XTAL3215</t>
  </si>
  <si>
    <t>J1</t>
  </si>
  <si>
    <t>DF40C_2.0_-20DS-0.4V_51_</t>
  </si>
  <si>
    <t>CONNECTOR</t>
  </si>
  <si>
    <t>DF40C2020DS04V51</t>
  </si>
  <si>
    <t>https://www.digikey.es/es/products/detail/hirose-electric-co-ltd/DF40C-2-0-20DS-0-4V-51/1967923</t>
  </si>
  <si>
    <t>C6,C8</t>
  </si>
  <si>
    <t>10uF, 10V, X5R</t>
  </si>
  <si>
    <t>https://www.digikey.es/en/products/detail/samsung-electro-mechanics/CL10A106MP8NNNC/3887529</t>
  </si>
  <si>
    <t>R21</t>
  </si>
  <si>
    <t>R20</t>
  </si>
  <si>
    <t>N.C</t>
  </si>
  <si>
    <t>R48</t>
  </si>
  <si>
    <t>1k</t>
  </si>
  <si>
    <t>R22</t>
  </si>
  <si>
    <t>7k5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</si>
</sst>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4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u/>
      <sz val="11"/>
      <color rgb="FF000000"/>
      <name val="Calibri"/>
      <family val="2"/>
    </font>
    <font>
      <u/>
      <sz val="12"/>
      <color rgb="FF0563c1"/>
      <name val="Calibri"/>
      <family val="2"/>
    </font>
    <font>
      <b/>
      <sz val="18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</font>
    <font>
      <b/>
      <sz val="21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bfbfbf"/>
      </patternFill>
    </fill>
    <fill>
      <patternFill patternType="solid">
        <fgColor rgb="FFffff00"/>
      </patternFill>
    </fill>
    <fill>
      <patternFill patternType="solid">
        <fgColor rgb="FF00b0f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45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3" applyNumberFormat="1" borderId="2" applyBorder="1" fontId="4" applyFont="1" fillId="0" applyAlignment="1">
      <alignment horizontal="left"/>
    </xf>
    <xf xfId="0" numFmtId="0" borderId="2" applyBorder="1" fontId="5" applyFont="1" fillId="0" applyAlignment="1">
      <alignment horizontal="left"/>
    </xf>
    <xf xfId="0" numFmtId="0" borderId="2" applyBorder="1" fontId="6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3" applyNumberFormat="1" borderId="2" applyBorder="1" fontId="7" applyFont="1" fillId="0" applyAlignment="1">
      <alignment horizontal="left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3" applyBorder="1" fontId="4" applyFont="1" fillId="2" applyFill="1" applyAlignment="1">
      <alignment horizontal="left"/>
    </xf>
    <xf xfId="0" numFmtId="1" applyNumberFormat="1" borderId="3" applyBorder="1" fontId="4" applyFont="1" fillId="2" applyFill="1" applyAlignment="1">
      <alignment horizontal="left"/>
    </xf>
    <xf xfId="0" numFmtId="0" borderId="3" applyBorder="1" fontId="4" applyFont="1" fillId="2" applyFill="1" applyAlignment="1">
      <alignment horizontal="left"/>
    </xf>
    <xf xfId="0" numFmtId="3" applyNumberFormat="1" borderId="2" applyBorder="1" fontId="8" applyFont="1" fillId="0" applyAlignment="1">
      <alignment horizontal="right"/>
    </xf>
    <xf xfId="0" numFmtId="15" applyNumberFormat="1" borderId="2" applyBorder="1" fontId="8" applyFont="1" fillId="0" applyAlignment="1">
      <alignment horizontal="left"/>
    </xf>
    <xf xfId="0" numFmtId="0" borderId="2" applyBorder="1" fontId="8" applyFont="1" fillId="0" applyAlignment="1">
      <alignment horizontal="left" wrapText="1"/>
    </xf>
    <xf xfId="0" numFmtId="14" applyNumberFormat="1" borderId="2" applyBorder="1" fontId="8" applyFont="1" fillId="0" applyAlignment="1">
      <alignment horizontal="left"/>
    </xf>
    <xf xfId="0" numFmtId="16" applyNumberFormat="1" borderId="2" applyBorder="1" fontId="8" applyFont="1" fillId="0" applyAlignment="1">
      <alignment horizontal="left"/>
    </xf>
    <xf xfId="0" numFmtId="3" applyNumberFormat="1" borderId="0" fontId="0" fillId="0" applyAlignment="1">
      <alignment horizontal="right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2" applyBorder="1" fontId="8" applyFont="1" fillId="0" applyAlignment="1">
      <alignment horizontal="center"/>
    </xf>
    <xf xfId="0" numFmtId="3" applyNumberFormat="1" borderId="4" applyBorder="1" fontId="9" applyFont="1" fillId="3" applyFill="1" applyAlignment="1">
      <alignment horizontal="left"/>
    </xf>
    <xf xfId="0" numFmtId="3" applyNumberFormat="1" borderId="4" applyBorder="1" fontId="9" applyFont="1" fillId="0" applyAlignment="1">
      <alignment horizontal="center"/>
    </xf>
    <xf xfId="0" numFmtId="14" applyNumberFormat="1" borderId="2" applyBorder="1" fontId="10" applyFont="1" fillId="0" applyAlignment="1">
      <alignment horizontal="left"/>
    </xf>
    <xf xfId="0" numFmtId="3" applyNumberFormat="1" borderId="2" applyBorder="1" fontId="11" applyFont="1" fillId="0" applyAlignment="1">
      <alignment horizontal="center"/>
    </xf>
    <xf xfId="0" numFmtId="0" borderId="2" applyBorder="1" fontId="12" applyFont="1" fillId="0" applyAlignment="1">
      <alignment horizontal="left"/>
    </xf>
    <xf xfId="0" numFmtId="0" borderId="2" applyBorder="1" fontId="11" applyFont="1" fillId="0" applyAlignment="1">
      <alignment horizontal="center"/>
    </xf>
    <xf xfId="0" numFmtId="3" applyNumberFormat="1" borderId="5" applyBorder="1" fontId="11" applyFont="1" fillId="4" applyFill="1" applyAlignment="1">
      <alignment horizontal="center"/>
    </xf>
    <xf xfId="0" numFmtId="0" borderId="6" applyBorder="1" fontId="11" applyFont="1" fillId="4" applyFill="1" applyAlignment="1">
      <alignment horizontal="center"/>
    </xf>
    <xf xfId="0" numFmtId="0" borderId="7" applyBorder="1" fontId="11" applyFont="1" fillId="4" applyFill="1" applyAlignment="1">
      <alignment horizontal="center"/>
    </xf>
    <xf xfId="0" numFmtId="3" applyNumberFormat="1" borderId="8" applyBorder="1" fontId="11" applyFont="1" fillId="0" applyAlignment="1">
      <alignment horizontal="center"/>
    </xf>
    <xf xfId="0" numFmtId="0" borderId="9" applyBorder="1" fontId="11" applyFont="1" fillId="0" applyAlignment="1">
      <alignment horizontal="center"/>
    </xf>
    <xf xfId="0" numFmtId="0" borderId="10" applyBorder="1" fontId="11" applyFont="1" fillId="0" applyAlignment="1">
      <alignment horizontal="center"/>
    </xf>
    <xf xfId="0" numFmtId="3" applyNumberFormat="1" borderId="11" applyBorder="1" fontId="13" applyFont="1" fillId="5" applyFill="1" applyAlignment="1">
      <alignment horizontal="center"/>
    </xf>
    <xf xfId="0" numFmtId="14" applyNumberFormat="1" borderId="11" applyBorder="1" fontId="13" applyFont="1" fillId="5" applyFill="1" applyAlignment="1">
      <alignment horizontal="center"/>
    </xf>
    <xf xfId="0" numFmtId="0" borderId="11" applyBorder="1" fontId="13" applyFont="1" fillId="5" applyFill="1" applyAlignment="1">
      <alignment horizontal="center"/>
    </xf>
    <xf xfId="0" numFmtId="0" borderId="2" applyBorder="1" fontId="8" applyFont="1" fillId="0" applyAlignment="1">
      <alignment horizontal="left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6:H38" displayName="Tabla1" name="Tabla1" id="1" totalsRowShown="0">
  <autoFilter ref="A6:H38"/>
  <tableColumns count="8">
    <tableColumn name="Position" id="1"/>
    <tableColumn name="NEW" id="2"/>
    <tableColumn name="Qty" id="3"/>
    <tableColumn name="Part" id="4"/>
    <tableColumn name="Value" id="5"/>
    <tableColumn name="Device" id="6"/>
    <tableColumn name="Package" id="7"/>
    <tableColumn name="Link" id="8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8"/>
  <sheetViews>
    <sheetView workbookViewId="0" tabSelected="1"/>
  </sheetViews>
  <sheetFormatPr defaultRowHeight="15" x14ac:dyDescent="0.25"/>
  <cols>
    <col min="1" max="1" style="23" width="15.43357142857143" customWidth="1" bestFit="1"/>
    <col min="2" max="2" style="44" width="11.290714285714287" customWidth="1" bestFit="1"/>
    <col min="3" max="3" style="23" width="8.43357142857143" customWidth="1" bestFit="1"/>
    <col min="4" max="4" style="25" width="34.43357142857143" customWidth="1" bestFit="1"/>
    <col min="5" max="5" style="25" width="24.433571428571426" customWidth="1" bestFit="1"/>
    <col min="6" max="6" style="25" width="19.433571428571426" customWidth="1" bestFit="1"/>
    <col min="7" max="7" style="25" width="21.433571428571426" customWidth="1" bestFit="1"/>
    <col min="8" max="8" style="25" width="122.14785714285713" customWidth="1" bestFit="1"/>
  </cols>
  <sheetData>
    <row x14ac:dyDescent="0.25" r="1" customHeight="1" ht="18.75">
      <c r="A1" s="14"/>
      <c r="B1" s="26"/>
      <c r="C1" s="27"/>
      <c r="D1" s="13"/>
      <c r="E1" s="13"/>
      <c r="F1" s="13"/>
      <c r="G1" s="13"/>
      <c r="H1" s="13"/>
    </row>
    <row x14ac:dyDescent="0.25" r="2" customHeight="1" ht="20.25">
      <c r="A2" s="28" t="s">
        <v>28</v>
      </c>
      <c r="B2" s="29">
        <f>MAX(_HISTORY!A4:A43)</f>
      </c>
      <c r="C2" s="14"/>
      <c r="D2" s="13"/>
      <c r="E2" s="13"/>
      <c r="F2" s="13"/>
      <c r="G2" s="13"/>
      <c r="H2" s="13"/>
    </row>
    <row x14ac:dyDescent="0.25" r="3" customHeight="1" ht="29.25">
      <c r="A3" s="28" t="s">
        <v>11</v>
      </c>
      <c r="B3" s="30">
        <f>VLOOKUP(B2,_HISTORY!A2:D100,2)</f>
        <v>25569.041666666668</v>
      </c>
      <c r="C3" s="31"/>
      <c r="D3" s="32"/>
      <c r="E3" s="33"/>
      <c r="F3" s="13"/>
      <c r="G3" s="13"/>
      <c r="H3" s="13"/>
    </row>
    <row x14ac:dyDescent="0.25" r="4" customHeight="1" ht="30">
      <c r="A4" s="14"/>
      <c r="B4" s="26"/>
      <c r="C4" s="34" t="s">
        <v>29</v>
      </c>
      <c r="D4" s="35"/>
      <c r="E4" s="35"/>
      <c r="F4" s="36"/>
      <c r="G4" s="13"/>
      <c r="H4" s="13"/>
    </row>
    <row x14ac:dyDescent="0.25" r="5" customHeight="1" ht="30.75">
      <c r="A5" s="14"/>
      <c r="B5" s="26"/>
      <c r="C5" s="37"/>
      <c r="D5" s="38"/>
      <c r="E5" s="38"/>
      <c r="F5" s="39"/>
      <c r="G5" s="13"/>
      <c r="H5" s="13"/>
    </row>
    <row x14ac:dyDescent="0.25" r="6" customHeight="1" ht="18.75">
      <c r="A6" s="40" t="s">
        <v>30</v>
      </c>
      <c r="B6" s="41" t="s">
        <v>31</v>
      </c>
      <c r="C6" s="40" t="s">
        <v>32</v>
      </c>
      <c r="D6" s="42" t="s">
        <v>33</v>
      </c>
      <c r="E6" s="42" t="s">
        <v>34</v>
      </c>
      <c r="F6" s="42" t="s">
        <v>35</v>
      </c>
      <c r="G6" s="42" t="s">
        <v>36</v>
      </c>
      <c r="H6" s="42" t="s">
        <v>37</v>
      </c>
    </row>
    <row x14ac:dyDescent="0.25" r="7" customHeight="1" ht="19.5">
      <c r="A7" s="18">
        <v>1</v>
      </c>
      <c r="B7" s="26" t="s">
        <v>38</v>
      </c>
      <c r="C7" s="27">
        <v>1</v>
      </c>
      <c r="D7" s="13" t="s">
        <v>39</v>
      </c>
      <c r="E7" s="13" t="s">
        <v>40</v>
      </c>
      <c r="F7" s="13" t="s">
        <v>41</v>
      </c>
      <c r="G7" s="13" t="s">
        <v>42</v>
      </c>
      <c r="H7" s="7" t="s">
        <v>43</v>
      </c>
    </row>
    <row x14ac:dyDescent="0.25" r="8" customHeight="1" ht="18.75">
      <c r="A8" s="18">
        <v>2</v>
      </c>
      <c r="B8" s="26" t="s">
        <v>38</v>
      </c>
      <c r="C8" s="27">
        <v>3</v>
      </c>
      <c r="D8" s="13" t="s">
        <v>44</v>
      </c>
      <c r="E8" s="13" t="s">
        <v>45</v>
      </c>
      <c r="F8" s="13" t="s">
        <v>46</v>
      </c>
      <c r="G8" s="13" t="s">
        <v>47</v>
      </c>
      <c r="H8" s="13"/>
    </row>
    <row x14ac:dyDescent="0.25" r="9" customHeight="1" ht="18.75">
      <c r="A9" s="18">
        <v>3</v>
      </c>
      <c r="B9" s="26" t="s">
        <v>38</v>
      </c>
      <c r="C9" s="27">
        <v>2</v>
      </c>
      <c r="D9" s="13" t="s">
        <v>48</v>
      </c>
      <c r="E9" s="13" t="s">
        <v>49</v>
      </c>
      <c r="F9" s="13" t="s">
        <v>46</v>
      </c>
      <c r="G9" s="13" t="s">
        <v>50</v>
      </c>
      <c r="H9" s="13"/>
    </row>
    <row x14ac:dyDescent="0.25" r="10" customHeight="1" ht="18.75">
      <c r="A10" s="18">
        <v>4</v>
      </c>
      <c r="B10" s="26" t="s">
        <v>38</v>
      </c>
      <c r="C10" s="27">
        <v>2</v>
      </c>
      <c r="D10" s="13" t="s">
        <v>51</v>
      </c>
      <c r="E10" s="13" t="s">
        <v>52</v>
      </c>
      <c r="F10" s="13" t="s">
        <v>46</v>
      </c>
      <c r="G10" s="13" t="s">
        <v>47</v>
      </c>
      <c r="H10" s="13"/>
    </row>
    <row x14ac:dyDescent="0.25" r="11" customHeight="1" ht="18.75">
      <c r="A11" s="18">
        <v>5</v>
      </c>
      <c r="B11" s="26" t="s">
        <v>38</v>
      </c>
      <c r="C11" s="27">
        <v>2</v>
      </c>
      <c r="D11" s="13" t="s">
        <v>53</v>
      </c>
      <c r="E11" s="13" t="s">
        <v>54</v>
      </c>
      <c r="F11" s="13" t="s">
        <v>46</v>
      </c>
      <c r="G11" s="13" t="s">
        <v>47</v>
      </c>
      <c r="H11" s="13"/>
    </row>
    <row x14ac:dyDescent="0.25" r="12" customHeight="1" ht="44.25">
      <c r="A12" s="18">
        <v>6</v>
      </c>
      <c r="B12" s="26" t="s">
        <v>38</v>
      </c>
      <c r="C12" s="27">
        <v>18</v>
      </c>
      <c r="D12" s="20" t="s">
        <v>55</v>
      </c>
      <c r="E12" s="13" t="s">
        <v>56</v>
      </c>
      <c r="F12" s="13" t="s">
        <v>46</v>
      </c>
      <c r="G12" s="13" t="s">
        <v>50</v>
      </c>
      <c r="H12" s="13"/>
    </row>
    <row x14ac:dyDescent="0.25" r="13" customHeight="1" ht="18.75">
      <c r="A13" s="18">
        <v>7</v>
      </c>
      <c r="B13" s="26" t="s">
        <v>38</v>
      </c>
      <c r="C13" s="27">
        <v>1</v>
      </c>
      <c r="D13" s="13" t="s">
        <v>57</v>
      </c>
      <c r="E13" s="13" t="s">
        <v>58</v>
      </c>
      <c r="F13" s="13" t="s">
        <v>59</v>
      </c>
      <c r="G13" s="13" t="s">
        <v>60</v>
      </c>
      <c r="H13" s="13"/>
    </row>
    <row x14ac:dyDescent="0.25" r="14" customHeight="1" ht="19.5">
      <c r="A14" s="18">
        <v>8</v>
      </c>
      <c r="B14" s="26" t="s">
        <v>38</v>
      </c>
      <c r="C14" s="27">
        <v>3</v>
      </c>
      <c r="D14" s="13" t="s">
        <v>61</v>
      </c>
      <c r="E14" s="13" t="s">
        <v>62</v>
      </c>
      <c r="F14" s="13" t="s">
        <v>63</v>
      </c>
      <c r="G14" s="13" t="s">
        <v>64</v>
      </c>
      <c r="H14" s="7" t="s">
        <v>65</v>
      </c>
    </row>
    <row x14ac:dyDescent="0.25" r="15" customHeight="1" ht="19.5">
      <c r="A15" s="18">
        <v>9</v>
      </c>
      <c r="B15" s="26" t="s">
        <v>38</v>
      </c>
      <c r="C15" s="27">
        <v>2</v>
      </c>
      <c r="D15" s="13" t="s">
        <v>66</v>
      </c>
      <c r="E15" s="13" t="s">
        <v>67</v>
      </c>
      <c r="F15" s="13" t="s">
        <v>63</v>
      </c>
      <c r="G15" s="13" t="s">
        <v>64</v>
      </c>
      <c r="H15" s="7" t="s">
        <v>68</v>
      </c>
    </row>
    <row x14ac:dyDescent="0.25" r="16" customHeight="1" ht="18.75">
      <c r="A16" s="18">
        <v>10</v>
      </c>
      <c r="B16" s="26" t="s">
        <v>38</v>
      </c>
      <c r="C16" s="27">
        <v>3</v>
      </c>
      <c r="D16" s="13" t="s">
        <v>69</v>
      </c>
      <c r="E16" s="13" t="s">
        <v>70</v>
      </c>
      <c r="F16" s="13" t="s">
        <v>59</v>
      </c>
      <c r="G16" s="13" t="s">
        <v>50</v>
      </c>
      <c r="H16" s="13"/>
    </row>
    <row x14ac:dyDescent="0.25" r="17" customHeight="1" ht="18.75">
      <c r="A17" s="18">
        <v>11</v>
      </c>
      <c r="B17" s="26" t="s">
        <v>38</v>
      </c>
      <c r="C17" s="27">
        <v>1</v>
      </c>
      <c r="D17" s="13" t="s">
        <v>71</v>
      </c>
      <c r="E17" s="13" t="s">
        <v>72</v>
      </c>
      <c r="F17" s="13" t="s">
        <v>59</v>
      </c>
      <c r="G17" s="13" t="s">
        <v>50</v>
      </c>
      <c r="H17" s="13"/>
    </row>
    <row x14ac:dyDescent="0.25" r="18" customHeight="1" ht="18.75">
      <c r="A18" s="18">
        <v>12</v>
      </c>
      <c r="B18" s="26" t="s">
        <v>73</v>
      </c>
      <c r="C18" s="27">
        <v>1</v>
      </c>
      <c r="D18" s="13" t="s">
        <v>74</v>
      </c>
      <c r="E18" s="13" t="s">
        <v>75</v>
      </c>
      <c r="F18" s="13" t="s">
        <v>59</v>
      </c>
      <c r="G18" s="13" t="s">
        <v>50</v>
      </c>
      <c r="H18" s="13"/>
    </row>
    <row x14ac:dyDescent="0.25" r="19" customHeight="1" ht="18.75">
      <c r="A19" s="18">
        <v>13</v>
      </c>
      <c r="B19" s="26" t="s">
        <v>38</v>
      </c>
      <c r="C19" s="27">
        <v>1</v>
      </c>
      <c r="D19" s="13" t="s">
        <v>76</v>
      </c>
      <c r="E19" s="13" t="s">
        <v>77</v>
      </c>
      <c r="F19" s="13" t="s">
        <v>59</v>
      </c>
      <c r="G19" s="13" t="s">
        <v>50</v>
      </c>
      <c r="H19" s="13"/>
    </row>
    <row x14ac:dyDescent="0.25" r="20" customHeight="1" ht="18.75">
      <c r="A20" s="18">
        <v>14</v>
      </c>
      <c r="B20" s="26" t="s">
        <v>38</v>
      </c>
      <c r="C20" s="27">
        <v>1</v>
      </c>
      <c r="D20" s="13" t="s">
        <v>78</v>
      </c>
      <c r="E20" s="13" t="s">
        <v>79</v>
      </c>
      <c r="F20" s="13" t="s">
        <v>59</v>
      </c>
      <c r="G20" s="13" t="s">
        <v>50</v>
      </c>
      <c r="H20" s="13"/>
    </row>
    <row x14ac:dyDescent="0.25" r="21" customHeight="1" ht="18.75">
      <c r="A21" s="18">
        <v>15</v>
      </c>
      <c r="B21" s="26" t="s">
        <v>38</v>
      </c>
      <c r="C21" s="27">
        <v>4</v>
      </c>
      <c r="D21" s="13" t="s">
        <v>80</v>
      </c>
      <c r="E21" s="13" t="s">
        <v>81</v>
      </c>
      <c r="F21" s="13" t="s">
        <v>59</v>
      </c>
      <c r="G21" s="13" t="s">
        <v>50</v>
      </c>
      <c r="H21" s="13"/>
    </row>
    <row x14ac:dyDescent="0.25" r="22" customHeight="1" ht="18.75">
      <c r="A22" s="18">
        <v>16</v>
      </c>
      <c r="B22" s="26" t="s">
        <v>38</v>
      </c>
      <c r="C22" s="27">
        <v>2</v>
      </c>
      <c r="D22" s="13" t="s">
        <v>82</v>
      </c>
      <c r="E22" s="13" t="s">
        <v>83</v>
      </c>
      <c r="F22" s="13" t="s">
        <v>59</v>
      </c>
      <c r="G22" s="13" t="s">
        <v>50</v>
      </c>
      <c r="H22" s="13"/>
    </row>
    <row x14ac:dyDescent="0.25" r="23" customHeight="1" ht="18.75">
      <c r="A23" s="18">
        <v>17</v>
      </c>
      <c r="B23" s="26" t="s">
        <v>38</v>
      </c>
      <c r="C23" s="27">
        <v>0</v>
      </c>
      <c r="D23" s="13" t="s">
        <v>84</v>
      </c>
      <c r="E23" s="13" t="s">
        <v>84</v>
      </c>
      <c r="F23" s="13"/>
      <c r="G23" s="13"/>
      <c r="H23" s="13"/>
    </row>
    <row x14ac:dyDescent="0.25" r="24" customHeight="1" ht="18.75">
      <c r="A24" s="18">
        <v>18</v>
      </c>
      <c r="B24" s="26" t="s">
        <v>38</v>
      </c>
      <c r="C24" s="27">
        <v>3</v>
      </c>
      <c r="D24" s="13" t="s">
        <v>85</v>
      </c>
      <c r="E24" s="13" t="s">
        <v>86</v>
      </c>
      <c r="F24" s="13" t="s">
        <v>59</v>
      </c>
      <c r="G24" s="13" t="s">
        <v>50</v>
      </c>
      <c r="H24" s="13"/>
    </row>
    <row x14ac:dyDescent="0.25" r="25" customHeight="1" ht="18.75">
      <c r="A25" s="18">
        <v>19</v>
      </c>
      <c r="B25" s="26" t="s">
        <v>38</v>
      </c>
      <c r="C25" s="27">
        <v>3</v>
      </c>
      <c r="D25" s="13" t="s">
        <v>87</v>
      </c>
      <c r="E25" s="13" t="s">
        <v>88</v>
      </c>
      <c r="F25" s="13" t="s">
        <v>59</v>
      </c>
      <c r="G25" s="13" t="s">
        <v>50</v>
      </c>
      <c r="H25" s="13"/>
    </row>
    <row x14ac:dyDescent="0.25" r="26" customHeight="1" ht="19.5">
      <c r="A26" s="18">
        <v>20</v>
      </c>
      <c r="B26" s="26" t="s">
        <v>38</v>
      </c>
      <c r="C26" s="27">
        <v>3</v>
      </c>
      <c r="D26" s="13" t="s">
        <v>89</v>
      </c>
      <c r="E26" s="13" t="s">
        <v>90</v>
      </c>
      <c r="F26" s="13" t="s">
        <v>91</v>
      </c>
      <c r="G26" s="13" t="s">
        <v>92</v>
      </c>
      <c r="H26" s="7" t="s">
        <v>93</v>
      </c>
    </row>
    <row x14ac:dyDescent="0.25" r="27" customHeight="1" ht="18.75">
      <c r="A27" s="18">
        <v>21</v>
      </c>
      <c r="B27" s="26" t="s">
        <v>38</v>
      </c>
      <c r="C27" s="27">
        <v>1</v>
      </c>
      <c r="D27" s="13" t="s">
        <v>94</v>
      </c>
      <c r="E27" s="13" t="s">
        <v>95</v>
      </c>
      <c r="F27" s="13" t="s">
        <v>96</v>
      </c>
      <c r="G27" s="13" t="s">
        <v>97</v>
      </c>
      <c r="H27" s="13"/>
    </row>
    <row x14ac:dyDescent="0.25" r="28" customHeight="1" ht="18.75">
      <c r="A28" s="18">
        <v>22</v>
      </c>
      <c r="B28" s="26" t="s">
        <v>38</v>
      </c>
      <c r="C28" s="27">
        <v>1</v>
      </c>
      <c r="D28" s="13" t="s">
        <v>98</v>
      </c>
      <c r="E28" s="13" t="s">
        <v>99</v>
      </c>
      <c r="F28" s="13" t="s">
        <v>96</v>
      </c>
      <c r="G28" s="13" t="s">
        <v>100</v>
      </c>
      <c r="H28" s="13"/>
    </row>
    <row x14ac:dyDescent="0.25" r="29" customHeight="1" ht="18.75">
      <c r="A29" s="18">
        <v>23</v>
      </c>
      <c r="B29" s="26" t="s">
        <v>38</v>
      </c>
      <c r="C29" s="27">
        <v>1</v>
      </c>
      <c r="D29" s="13" t="s">
        <v>101</v>
      </c>
      <c r="E29" s="13" t="s">
        <v>102</v>
      </c>
      <c r="F29" s="13" t="s">
        <v>96</v>
      </c>
      <c r="G29" s="13" t="s">
        <v>103</v>
      </c>
      <c r="H29" s="7" t="s">
        <v>104</v>
      </c>
    </row>
    <row x14ac:dyDescent="0.25" r="30" customHeight="1" ht="18.75">
      <c r="A30" s="18">
        <v>24</v>
      </c>
      <c r="B30" s="26" t="s">
        <v>38</v>
      </c>
      <c r="C30" s="27">
        <v>1</v>
      </c>
      <c r="D30" s="13" t="s">
        <v>105</v>
      </c>
      <c r="E30" s="13" t="s">
        <v>106</v>
      </c>
      <c r="F30" s="13" t="s">
        <v>96</v>
      </c>
      <c r="G30" s="13" t="s">
        <v>107</v>
      </c>
      <c r="H30" s="7" t="s">
        <v>108</v>
      </c>
    </row>
    <row x14ac:dyDescent="0.25" r="31" customHeight="1" ht="18.75">
      <c r="A31" s="18">
        <v>25</v>
      </c>
      <c r="B31" s="26" t="s">
        <v>38</v>
      </c>
      <c r="C31" s="27">
        <v>1</v>
      </c>
      <c r="D31" s="13" t="s">
        <v>109</v>
      </c>
      <c r="E31" s="43" t="s">
        <v>110</v>
      </c>
      <c r="F31" s="43" t="s">
        <v>111</v>
      </c>
      <c r="G31" s="43" t="s">
        <v>112</v>
      </c>
      <c r="H31" s="13"/>
    </row>
    <row x14ac:dyDescent="0.25" r="32" customHeight="1" ht="18.75">
      <c r="A32" s="18">
        <v>26</v>
      </c>
      <c r="B32" s="26" t="s">
        <v>38</v>
      </c>
      <c r="C32" s="27">
        <v>1</v>
      </c>
      <c r="D32" s="13" t="s">
        <v>113</v>
      </c>
      <c r="E32" s="13" t="s">
        <v>114</v>
      </c>
      <c r="F32" s="43" t="s">
        <v>115</v>
      </c>
      <c r="G32" s="43" t="s">
        <v>116</v>
      </c>
      <c r="H32" s="7" t="s">
        <v>117</v>
      </c>
    </row>
    <row x14ac:dyDescent="0.25" r="33" customHeight="1" ht="18.75">
      <c r="A33" s="18">
        <v>27</v>
      </c>
      <c r="B33" s="26" t="s">
        <v>38</v>
      </c>
      <c r="C33" s="27">
        <v>0</v>
      </c>
      <c r="D33" s="13" t="s">
        <v>84</v>
      </c>
      <c r="E33" s="13" t="s">
        <v>84</v>
      </c>
      <c r="F33" s="13" t="s">
        <v>84</v>
      </c>
      <c r="G33" s="13" t="s">
        <v>84</v>
      </c>
      <c r="H33" s="13" t="s">
        <v>84</v>
      </c>
    </row>
    <row x14ac:dyDescent="0.25" r="34" customHeight="1" ht="18.75">
      <c r="A34" s="18">
        <v>28</v>
      </c>
      <c r="B34" s="26" t="s">
        <v>38</v>
      </c>
      <c r="C34" s="27">
        <v>2</v>
      </c>
      <c r="D34" s="13" t="s">
        <v>118</v>
      </c>
      <c r="E34" s="13" t="s">
        <v>119</v>
      </c>
      <c r="F34" s="13" t="s">
        <v>46</v>
      </c>
      <c r="G34" s="13" t="s">
        <v>47</v>
      </c>
      <c r="H34" s="7" t="s">
        <v>120</v>
      </c>
    </row>
    <row x14ac:dyDescent="0.25" r="35" customHeight="1" ht="18.75">
      <c r="A35" s="18">
        <v>29</v>
      </c>
      <c r="B35" s="26" t="s">
        <v>38</v>
      </c>
      <c r="C35" s="27">
        <v>1</v>
      </c>
      <c r="D35" s="13" t="s">
        <v>121</v>
      </c>
      <c r="E35" s="13" t="s">
        <v>58</v>
      </c>
      <c r="F35" s="13" t="s">
        <v>59</v>
      </c>
      <c r="G35" s="13" t="s">
        <v>50</v>
      </c>
      <c r="H35" s="13"/>
    </row>
    <row x14ac:dyDescent="0.25" r="36" customHeight="1" ht="18.75">
      <c r="A36" s="18">
        <v>30</v>
      </c>
      <c r="B36" s="26" t="s">
        <v>38</v>
      </c>
      <c r="C36" s="27">
        <v>1</v>
      </c>
      <c r="D36" s="13" t="s">
        <v>122</v>
      </c>
      <c r="E36" s="13" t="s">
        <v>123</v>
      </c>
      <c r="F36" s="13" t="s">
        <v>59</v>
      </c>
      <c r="G36" s="13" t="s">
        <v>50</v>
      </c>
      <c r="H36" s="13"/>
    </row>
    <row x14ac:dyDescent="0.25" r="37" customHeight="1" ht="18.75">
      <c r="A37" s="18">
        <v>31</v>
      </c>
      <c r="B37" s="26" t="s">
        <v>38</v>
      </c>
      <c r="C37" s="27">
        <v>1</v>
      </c>
      <c r="D37" s="13" t="s">
        <v>124</v>
      </c>
      <c r="E37" s="13" t="s">
        <v>125</v>
      </c>
      <c r="F37" s="13" t="s">
        <v>59</v>
      </c>
      <c r="G37" s="13" t="s">
        <v>50</v>
      </c>
      <c r="H37" s="13"/>
    </row>
    <row x14ac:dyDescent="0.25" r="38" customHeight="1" ht="18.75">
      <c r="A38" s="18">
        <v>32</v>
      </c>
      <c r="B38" s="26" t="s">
        <v>73</v>
      </c>
      <c r="C38" s="18">
        <v>1</v>
      </c>
      <c r="D38" s="13" t="s">
        <v>126</v>
      </c>
      <c r="E38" s="13" t="s">
        <v>127</v>
      </c>
      <c r="F38" s="13" t="s">
        <v>59</v>
      </c>
      <c r="G38" s="13" t="s">
        <v>50</v>
      </c>
      <c r="H38" s="13"/>
    </row>
  </sheetData>
  <mergeCells count="1">
    <mergeCell ref="C4:F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5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13.576428571428572" customWidth="1" bestFit="1"/>
    <col min="3" max="3" style="25" width="13.576428571428572" customWidth="1" bestFit="1"/>
    <col min="4" max="4" style="25" width="135.71928571428572" customWidth="1" bestFit="1"/>
  </cols>
  <sheetData>
    <row x14ac:dyDescent="0.25" r="1" customHeight="1" ht="18.75">
      <c r="A1" s="11" t="s">
        <v>9</v>
      </c>
      <c r="B1" s="12"/>
      <c r="C1" s="13"/>
      <c r="D1" s="13"/>
    </row>
    <row x14ac:dyDescent="0.25" r="2" customHeight="1" ht="18.75">
      <c r="A2" s="14"/>
      <c r="B2" s="12"/>
      <c r="C2" s="13"/>
      <c r="D2" s="13"/>
    </row>
    <row x14ac:dyDescent="0.25" r="3" customHeight="1" ht="18.75">
      <c r="A3" s="15" t="s">
        <v>10</v>
      </c>
      <c r="B3" s="16" t="s">
        <v>11</v>
      </c>
      <c r="C3" s="17" t="s">
        <v>12</v>
      </c>
      <c r="D3" s="17" t="s">
        <v>13</v>
      </c>
    </row>
    <row x14ac:dyDescent="0.25" r="4" customHeight="1" ht="18.75">
      <c r="A4" s="18">
        <v>1</v>
      </c>
      <c r="B4" s="19">
        <v>44874</v>
      </c>
      <c r="C4" s="13" t="s">
        <v>14</v>
      </c>
      <c r="D4" s="13" t="s">
        <v>15</v>
      </c>
    </row>
    <row x14ac:dyDescent="0.25" r="5" customHeight="1" ht="18.75">
      <c r="A5" s="18">
        <v>2</v>
      </c>
      <c r="B5" s="19">
        <v>44880</v>
      </c>
      <c r="C5" s="13" t="s">
        <v>16</v>
      </c>
      <c r="D5" s="13" t="s">
        <v>17</v>
      </c>
    </row>
    <row x14ac:dyDescent="0.25" r="6" customHeight="1" ht="18.75">
      <c r="A6" s="18">
        <v>3</v>
      </c>
      <c r="B6" s="19">
        <v>44918</v>
      </c>
      <c r="C6" s="13" t="s">
        <v>14</v>
      </c>
      <c r="D6" s="13" t="s">
        <v>18</v>
      </c>
    </row>
    <row x14ac:dyDescent="0.25" r="7" customHeight="1" ht="18.75">
      <c r="A7" s="18">
        <v>4</v>
      </c>
      <c r="B7" s="19">
        <v>44931</v>
      </c>
      <c r="C7" s="13" t="s">
        <v>16</v>
      </c>
      <c r="D7" s="13" t="s">
        <v>19</v>
      </c>
    </row>
    <row x14ac:dyDescent="0.25" r="8" customHeight="1" ht="18.75">
      <c r="A8" s="18">
        <v>5</v>
      </c>
      <c r="B8" s="19">
        <v>44958</v>
      </c>
      <c r="C8" s="13" t="s">
        <v>14</v>
      </c>
      <c r="D8" s="13" t="s">
        <v>20</v>
      </c>
    </row>
    <row x14ac:dyDescent="0.25" r="9" customHeight="1" ht="18.75">
      <c r="A9" s="18">
        <v>6</v>
      </c>
      <c r="B9" s="19">
        <v>45062</v>
      </c>
      <c r="C9" s="13" t="s">
        <v>14</v>
      </c>
      <c r="D9" s="20" t="s">
        <v>21</v>
      </c>
    </row>
    <row x14ac:dyDescent="0.25" r="10" customHeight="1" ht="18.75">
      <c r="A10" s="18">
        <v>7</v>
      </c>
      <c r="B10" s="19">
        <v>45063</v>
      </c>
      <c r="C10" s="13" t="s">
        <v>14</v>
      </c>
      <c r="D10" s="20" t="s">
        <v>22</v>
      </c>
    </row>
    <row x14ac:dyDescent="0.25" r="11" customHeight="1" ht="18.75">
      <c r="A11" s="18">
        <v>8</v>
      </c>
      <c r="B11" s="21">
        <v>45180</v>
      </c>
      <c r="C11" s="13" t="s">
        <v>14</v>
      </c>
      <c r="D11" s="20" t="s">
        <v>23</v>
      </c>
    </row>
    <row x14ac:dyDescent="0.25" r="12" customHeight="1" ht="18.75">
      <c r="A12" s="18">
        <v>9</v>
      </c>
      <c r="B12" s="21">
        <v>45194</v>
      </c>
      <c r="C12" s="13" t="s">
        <v>14</v>
      </c>
      <c r="D12" s="20" t="s">
        <v>24</v>
      </c>
    </row>
    <row x14ac:dyDescent="0.25" r="13" customHeight="1" ht="18.75">
      <c r="A13" s="14"/>
      <c r="B13" s="21">
        <v>45195</v>
      </c>
      <c r="C13" s="13" t="s">
        <v>16</v>
      </c>
      <c r="D13" s="20" t="s">
        <v>25</v>
      </c>
    </row>
    <row x14ac:dyDescent="0.25" r="14" customHeight="1" ht="18.75">
      <c r="A14" s="18">
        <v>10</v>
      </c>
      <c r="B14" s="22">
        <v>45540</v>
      </c>
      <c r="C14" s="13" t="s">
        <v>14</v>
      </c>
      <c r="D14" s="20" t="s">
        <v>26</v>
      </c>
    </row>
    <row x14ac:dyDescent="0.25" r="15" customHeight="1" ht="18.75">
      <c r="A15" s="18">
        <v>11</v>
      </c>
      <c r="B15" s="22">
        <v>45611</v>
      </c>
      <c r="C15" s="13" t="s">
        <v>14</v>
      </c>
      <c r="D15" s="20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</cols>
  <sheetData>
    <row x14ac:dyDescent="0.25" r="1" customHeight="1" ht="18.75">
      <c r="A1" s="1" t="s">
        <v>0</v>
      </c>
      <c r="B1" s="2"/>
      <c r="C1" s="2"/>
    </row>
    <row x14ac:dyDescent="0.25" r="2" customHeight="1" ht="18.75">
      <c r="A2" s="3" t="s">
        <v>1</v>
      </c>
      <c r="B2" s="4"/>
      <c r="C2" s="5"/>
    </row>
    <row x14ac:dyDescent="0.25" r="3" customHeight="1" ht="18.75">
      <c r="A3" s="3" t="s">
        <v>2</v>
      </c>
      <c r="B3" s="4"/>
      <c r="C3" s="5"/>
    </row>
    <row x14ac:dyDescent="0.25" r="4" customHeight="1" ht="18.75">
      <c r="A4" s="3">
        <v>28805</v>
      </c>
      <c r="B4" s="5"/>
      <c r="C4" s="5"/>
    </row>
    <row x14ac:dyDescent="0.25" r="5" customHeight="1" ht="18.75">
      <c r="A5" s="3" t="s">
        <v>3</v>
      </c>
      <c r="B5" s="4"/>
      <c r="C5" s="5"/>
    </row>
    <row x14ac:dyDescent="0.25" r="6" customHeight="1" ht="18.75">
      <c r="A6" s="3" t="s">
        <v>4</v>
      </c>
      <c r="B6" s="5"/>
      <c r="C6" s="5"/>
    </row>
    <row x14ac:dyDescent="0.25" r="7" customHeight="1" ht="18.75">
      <c r="A7" s="3"/>
      <c r="B7" s="5"/>
      <c r="C7" s="5"/>
    </row>
    <row x14ac:dyDescent="0.25" r="8" customHeight="1" ht="18.75">
      <c r="A8" s="6" t="s">
        <v>5</v>
      </c>
      <c r="B8" s="7" t="s">
        <v>6</v>
      </c>
      <c r="C8" s="8"/>
    </row>
    <row x14ac:dyDescent="0.25" r="9" customHeight="1" ht="18.75">
      <c r="A9" s="6" t="s">
        <v>7</v>
      </c>
      <c r="B9" s="5" t="s">
        <v>8</v>
      </c>
      <c r="C9" s="5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BATT_CPU</vt:lpstr>
      <vt:lpstr>_HISTORY</vt:lpstr>
      <vt:lpstr>CONTACT INFO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2024-11-20T14:46:27.775Z</dcterms:created>
  <dcterms:modified xsi:type="dcterms:W3CDTF">2024-11-20T14:46:27.775Z</dcterms:modified>
</cp:coreProperties>
</file>