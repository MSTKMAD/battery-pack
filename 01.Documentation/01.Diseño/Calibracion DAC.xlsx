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1.Documentation\01.Diseño\"/>
    </mc:Choice>
  </mc:AlternateContent>
  <xr:revisionPtr revIDLastSave="0" documentId="13_ncr:1_{1444FCAA-1ABC-4E28-8E02-99A19B12C303}" xr6:coauthVersionLast="47" xr6:coauthVersionMax="47" xr10:uidLastSave="{00000000-0000-0000-0000-000000000000}"/>
  <bookViews>
    <workbookView xWindow="-120" yWindow="-120" windowWidth="29040" windowHeight="15720" activeTab="5" xr2:uid="{1F2CF652-4A2E-4701-B4BE-D2C83886312B}"/>
  </bookViews>
  <sheets>
    <sheet name="120-1420" sheetId="1" r:id="rId1"/>
    <sheet name="140-1435" sheetId="2" r:id="rId2"/>
    <sheet name="Tarjeta verificacion" sheetId="3" r:id="rId3"/>
    <sheet name="140-1435 (2)" sheetId="4" r:id="rId4"/>
    <sheet name="140-1435 (3)" sheetId="5" r:id="rId5"/>
    <sheet name="40-18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6" l="1"/>
  <c r="D149" i="6"/>
  <c r="D150" i="6"/>
  <c r="D151" i="6"/>
  <c r="D152" i="6"/>
  <c r="D144" i="6"/>
  <c r="D145" i="6"/>
  <c r="D146" i="6"/>
  <c r="D147" i="6"/>
  <c r="D139" i="6"/>
  <c r="D140" i="6"/>
  <c r="D141" i="6"/>
  <c r="D142" i="6"/>
  <c r="D143" i="6"/>
  <c r="D132" i="6"/>
  <c r="D133" i="6"/>
  <c r="D134" i="6"/>
  <c r="D135" i="6"/>
  <c r="D136" i="6"/>
  <c r="D137" i="6"/>
  <c r="D138" i="6"/>
  <c r="D123" i="6"/>
  <c r="D124" i="6"/>
  <c r="D125" i="6"/>
  <c r="D126" i="6"/>
  <c r="D127" i="6"/>
  <c r="D128" i="6"/>
  <c r="D129" i="6"/>
  <c r="D130" i="6"/>
  <c r="D131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F82" i="6" l="1"/>
  <c r="G82" i="6" s="1"/>
  <c r="F81" i="6"/>
  <c r="G81" i="6" s="1"/>
  <c r="F80" i="6"/>
  <c r="G80" i="6" s="1"/>
  <c r="F79" i="6"/>
  <c r="G79" i="6" s="1"/>
  <c r="F78" i="6"/>
  <c r="G78" i="6" s="1"/>
  <c r="F77" i="6"/>
  <c r="G77" i="6" s="1"/>
  <c r="F76" i="6"/>
  <c r="G76" i="6" s="1"/>
  <c r="F75" i="6"/>
  <c r="G75" i="6" s="1"/>
  <c r="F74" i="6"/>
  <c r="G74" i="6" s="1"/>
  <c r="F73" i="6"/>
  <c r="G73" i="6" s="1"/>
  <c r="F72" i="6"/>
  <c r="G72" i="6" s="1"/>
  <c r="F71" i="6"/>
  <c r="G71" i="6" s="1"/>
  <c r="F70" i="6"/>
  <c r="G70" i="6" s="1"/>
  <c r="F69" i="6"/>
  <c r="G69" i="6" s="1"/>
  <c r="F68" i="6"/>
  <c r="G68" i="6" s="1"/>
  <c r="F67" i="6"/>
  <c r="G67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F57" i="6"/>
  <c r="G57" i="6" s="1"/>
  <c r="F56" i="6"/>
  <c r="G56" i="6" s="1"/>
  <c r="F55" i="6"/>
  <c r="G55" i="6" s="1"/>
  <c r="F54" i="6"/>
  <c r="G54" i="6" s="1"/>
  <c r="F53" i="6"/>
  <c r="G53" i="6" s="1"/>
  <c r="F52" i="6"/>
  <c r="G52" i="6" s="1"/>
  <c r="F51" i="6"/>
  <c r="G51" i="6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E4" i="6"/>
  <c r="E3" i="6"/>
  <c r="I2" i="6"/>
  <c r="B9" i="5"/>
  <c r="C9" i="5" s="1"/>
  <c r="B10" i="5"/>
  <c r="C10" i="5"/>
  <c r="B11" i="5"/>
  <c r="C11" i="5" s="1"/>
  <c r="B12" i="5"/>
  <c r="C12" i="5" s="1"/>
  <c r="B13" i="5"/>
  <c r="C13" i="5"/>
  <c r="B14" i="5"/>
  <c r="C14" i="5" s="1"/>
  <c r="B15" i="5"/>
  <c r="C15" i="5" s="1"/>
  <c r="B16" i="5"/>
  <c r="C16" i="5"/>
  <c r="B17" i="5"/>
  <c r="C17" i="5" s="1"/>
  <c r="B18" i="5"/>
  <c r="C18" i="5" s="1"/>
  <c r="B19" i="5"/>
  <c r="C19" i="5"/>
  <c r="B20" i="5"/>
  <c r="C20" i="5" s="1"/>
  <c r="B21" i="5"/>
  <c r="C21" i="5" s="1"/>
  <c r="B22" i="5"/>
  <c r="C22" i="5"/>
  <c r="B23" i="5"/>
  <c r="C23" i="5" s="1"/>
  <c r="B24" i="5"/>
  <c r="C24" i="5" s="1"/>
  <c r="B25" i="5"/>
  <c r="C25" i="5"/>
  <c r="B26" i="5"/>
  <c r="C26" i="5" s="1"/>
  <c r="B27" i="5"/>
  <c r="C27" i="5" s="1"/>
  <c r="B28" i="5"/>
  <c r="C28" i="5"/>
  <c r="B29" i="5"/>
  <c r="C29" i="5" s="1"/>
  <c r="B30" i="5"/>
  <c r="C30" i="5" s="1"/>
  <c r="B31" i="5"/>
  <c r="C31" i="5"/>
  <c r="B32" i="5"/>
  <c r="C32" i="5" s="1"/>
  <c r="B33" i="5"/>
  <c r="C33" i="5" s="1"/>
  <c r="B34" i="5"/>
  <c r="C34" i="5"/>
  <c r="B35" i="5"/>
  <c r="C35" i="5" s="1"/>
  <c r="B36" i="5"/>
  <c r="C36" i="5" s="1"/>
  <c r="B37" i="5"/>
  <c r="C37" i="5"/>
  <c r="B38" i="5"/>
  <c r="C38" i="5" s="1"/>
  <c r="B39" i="5"/>
  <c r="C39" i="5" s="1"/>
  <c r="B40" i="5"/>
  <c r="C40" i="5"/>
  <c r="B41" i="5"/>
  <c r="C41" i="5" s="1"/>
  <c r="B42" i="5"/>
  <c r="C42" i="5" s="1"/>
  <c r="B43" i="5"/>
  <c r="C43" i="5"/>
  <c r="B44" i="5"/>
  <c r="C44" i="5" s="1"/>
  <c r="B45" i="5"/>
  <c r="C45" i="5" s="1"/>
  <c r="B46" i="5"/>
  <c r="C46" i="5"/>
  <c r="B47" i="5"/>
  <c r="C47" i="5" s="1"/>
  <c r="B48" i="5"/>
  <c r="C48" i="5" s="1"/>
  <c r="B49" i="5"/>
  <c r="C49" i="5"/>
  <c r="B50" i="5"/>
  <c r="C50" i="5" s="1"/>
  <c r="B51" i="5"/>
  <c r="C51" i="5" s="1"/>
  <c r="B52" i="5"/>
  <c r="C52" i="5"/>
  <c r="B53" i="5"/>
  <c r="C53" i="5" s="1"/>
  <c r="B54" i="5"/>
  <c r="C54" i="5" s="1"/>
  <c r="B55" i="5"/>
  <c r="C55" i="5"/>
  <c r="B56" i="5"/>
  <c r="C56" i="5" s="1"/>
  <c r="B57" i="5"/>
  <c r="C57" i="5" s="1"/>
  <c r="B58" i="5"/>
  <c r="C58" i="5"/>
  <c r="B59" i="5"/>
  <c r="C59" i="5" s="1"/>
  <c r="B60" i="5"/>
  <c r="C60" i="5" s="1"/>
  <c r="B61" i="5"/>
  <c r="C61" i="5"/>
  <c r="B62" i="5"/>
  <c r="C62" i="5" s="1"/>
  <c r="B63" i="5"/>
  <c r="C63" i="5" s="1"/>
  <c r="B64" i="5"/>
  <c r="C64" i="5"/>
  <c r="B65" i="5"/>
  <c r="C65" i="5" s="1"/>
  <c r="B66" i="5"/>
  <c r="C66" i="5" s="1"/>
  <c r="B67" i="5"/>
  <c r="C67" i="5"/>
  <c r="B68" i="5"/>
  <c r="C68" i="5" s="1"/>
  <c r="B69" i="5"/>
  <c r="C69" i="5" s="1"/>
  <c r="B70" i="5"/>
  <c r="C70" i="5"/>
  <c r="B71" i="5"/>
  <c r="C71" i="5" s="1"/>
  <c r="B72" i="5"/>
  <c r="C72" i="5" s="1"/>
  <c r="B73" i="5"/>
  <c r="C73" i="5"/>
  <c r="B74" i="5"/>
  <c r="C74" i="5" s="1"/>
  <c r="B75" i="5"/>
  <c r="C75" i="5" s="1"/>
  <c r="B76" i="5"/>
  <c r="C76" i="5"/>
  <c r="B77" i="5"/>
  <c r="C77" i="5" s="1"/>
  <c r="B78" i="5"/>
  <c r="C78" i="5" s="1"/>
  <c r="B79" i="5"/>
  <c r="C79" i="5"/>
  <c r="B80" i="5"/>
  <c r="C80" i="5" s="1"/>
  <c r="B81" i="5"/>
  <c r="C81" i="5" s="1"/>
  <c r="B82" i="5"/>
  <c r="C82" i="5"/>
  <c r="B83" i="5"/>
  <c r="C83" i="5" s="1"/>
  <c r="B84" i="5"/>
  <c r="C84" i="5" s="1"/>
  <c r="B85" i="5"/>
  <c r="C85" i="5"/>
  <c r="B86" i="5"/>
  <c r="C86" i="5" s="1"/>
  <c r="B87" i="5"/>
  <c r="C87" i="5" s="1"/>
  <c r="B8" i="5"/>
  <c r="C8" i="5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E4" i="5"/>
  <c r="E3" i="5"/>
  <c r="I2" i="5"/>
  <c r="B78" i="4"/>
  <c r="C78" i="4" s="1"/>
  <c r="F78" i="4"/>
  <c r="G78" i="4" s="1"/>
  <c r="B79" i="4"/>
  <c r="C79" i="4" s="1"/>
  <c r="F79" i="4"/>
  <c r="G79" i="4" s="1"/>
  <c r="B80" i="4"/>
  <c r="C80" i="4" s="1"/>
  <c r="F80" i="4"/>
  <c r="G80" i="4" s="1"/>
  <c r="B81" i="4"/>
  <c r="C81" i="4" s="1"/>
  <c r="F81" i="4"/>
  <c r="G81" i="4" s="1"/>
  <c r="B82" i="4"/>
  <c r="C82" i="4" s="1"/>
  <c r="F82" i="4"/>
  <c r="G82" i="4" s="1"/>
  <c r="F77" i="4"/>
  <c r="G77" i="4" s="1"/>
  <c r="F76" i="4"/>
  <c r="G76" i="4" s="1"/>
  <c r="F75" i="4"/>
  <c r="F74" i="4"/>
  <c r="G74" i="4" s="1"/>
  <c r="F73" i="4"/>
  <c r="G73" i="4" s="1"/>
  <c r="F72" i="4"/>
  <c r="F71" i="4"/>
  <c r="G71" i="4" s="1"/>
  <c r="F70" i="4"/>
  <c r="G70" i="4" s="1"/>
  <c r="F69" i="4"/>
  <c r="B69" i="4"/>
  <c r="C69" i="4" s="1"/>
  <c r="F68" i="4"/>
  <c r="G68" i="4" s="1"/>
  <c r="F67" i="4"/>
  <c r="G67" i="4" s="1"/>
  <c r="F66" i="4"/>
  <c r="F65" i="4"/>
  <c r="G65" i="4" s="1"/>
  <c r="F64" i="4"/>
  <c r="G64" i="4" s="1"/>
  <c r="F63" i="4"/>
  <c r="F62" i="4"/>
  <c r="G62" i="4" s="1"/>
  <c r="F61" i="4"/>
  <c r="G61" i="4" s="1"/>
  <c r="F60" i="4"/>
  <c r="B60" i="4"/>
  <c r="C60" i="4" s="1"/>
  <c r="F59" i="4"/>
  <c r="G59" i="4" s="1"/>
  <c r="F58" i="4"/>
  <c r="G58" i="4" s="1"/>
  <c r="F57" i="4"/>
  <c r="F56" i="4"/>
  <c r="G56" i="4" s="1"/>
  <c r="F55" i="4"/>
  <c r="G55" i="4" s="1"/>
  <c r="F54" i="4"/>
  <c r="F53" i="4"/>
  <c r="G53" i="4" s="1"/>
  <c r="F52" i="4"/>
  <c r="G52" i="4" s="1"/>
  <c r="F51" i="4"/>
  <c r="B51" i="4"/>
  <c r="C51" i="4" s="1"/>
  <c r="F50" i="4"/>
  <c r="G50" i="4" s="1"/>
  <c r="F49" i="4"/>
  <c r="G49" i="4" s="1"/>
  <c r="F48" i="4"/>
  <c r="F47" i="4"/>
  <c r="G47" i="4" s="1"/>
  <c r="F46" i="4"/>
  <c r="G46" i="4" s="1"/>
  <c r="F45" i="4"/>
  <c r="F44" i="4"/>
  <c r="G44" i="4" s="1"/>
  <c r="F43" i="4"/>
  <c r="G43" i="4" s="1"/>
  <c r="F42" i="4"/>
  <c r="B42" i="4"/>
  <c r="C42" i="4" s="1"/>
  <c r="F41" i="4"/>
  <c r="G41" i="4" s="1"/>
  <c r="F40" i="4"/>
  <c r="G40" i="4" s="1"/>
  <c r="F39" i="4"/>
  <c r="F38" i="4"/>
  <c r="G38" i="4" s="1"/>
  <c r="F37" i="4"/>
  <c r="G37" i="4" s="1"/>
  <c r="F36" i="4"/>
  <c r="F35" i="4"/>
  <c r="G35" i="4" s="1"/>
  <c r="F34" i="4"/>
  <c r="G34" i="4" s="1"/>
  <c r="F33" i="4"/>
  <c r="B33" i="4"/>
  <c r="C33" i="4" s="1"/>
  <c r="F32" i="4"/>
  <c r="G32" i="4" s="1"/>
  <c r="F31" i="4"/>
  <c r="G31" i="4" s="1"/>
  <c r="F30" i="4"/>
  <c r="F29" i="4"/>
  <c r="G29" i="4" s="1"/>
  <c r="F28" i="4"/>
  <c r="G28" i="4" s="1"/>
  <c r="F27" i="4"/>
  <c r="F26" i="4"/>
  <c r="G26" i="4" s="1"/>
  <c r="F25" i="4"/>
  <c r="G25" i="4" s="1"/>
  <c r="F24" i="4"/>
  <c r="B24" i="4"/>
  <c r="C24" i="4" s="1"/>
  <c r="F23" i="4"/>
  <c r="G23" i="4" s="1"/>
  <c r="F22" i="4"/>
  <c r="G22" i="4" s="1"/>
  <c r="F21" i="4"/>
  <c r="F20" i="4"/>
  <c r="G20" i="4" s="1"/>
  <c r="F19" i="4"/>
  <c r="G19" i="4" s="1"/>
  <c r="F18" i="4"/>
  <c r="F17" i="4"/>
  <c r="G17" i="4" s="1"/>
  <c r="F16" i="4"/>
  <c r="G16" i="4" s="1"/>
  <c r="F15" i="4"/>
  <c r="B15" i="4"/>
  <c r="C15" i="4" s="1"/>
  <c r="F14" i="4"/>
  <c r="G14" i="4" s="1"/>
  <c r="F13" i="4"/>
  <c r="G13" i="4" s="1"/>
  <c r="F12" i="4"/>
  <c r="F11" i="4"/>
  <c r="G11" i="4" s="1"/>
  <c r="F10" i="4"/>
  <c r="G10" i="4" s="1"/>
  <c r="F9" i="4"/>
  <c r="F8" i="4"/>
  <c r="G8" i="4" s="1"/>
  <c r="F7" i="4"/>
  <c r="G7" i="4" s="1"/>
  <c r="E4" i="4"/>
  <c r="B76" i="4" s="1"/>
  <c r="C76" i="4" s="1"/>
  <c r="E3" i="4"/>
  <c r="I2" i="4"/>
  <c r="G75" i="4" s="1"/>
  <c r="B148" i="6" l="1"/>
  <c r="C148" i="6" s="1"/>
  <c r="B151" i="6"/>
  <c r="C151" i="6" s="1"/>
  <c r="B147" i="6"/>
  <c r="C147" i="6" s="1"/>
  <c r="B141" i="6"/>
  <c r="C141" i="6" s="1"/>
  <c r="B88" i="6"/>
  <c r="C88" i="6" s="1"/>
  <c r="B91" i="6"/>
  <c r="C91" i="6" s="1"/>
  <c r="B96" i="6"/>
  <c r="C96" i="6" s="1"/>
  <c r="B99" i="6"/>
  <c r="C99" i="6" s="1"/>
  <c r="B102" i="6"/>
  <c r="C102" i="6" s="1"/>
  <c r="B137" i="6"/>
  <c r="C137" i="6" s="1"/>
  <c r="B130" i="6"/>
  <c r="C130" i="6" s="1"/>
  <c r="B107" i="6"/>
  <c r="C107" i="6" s="1"/>
  <c r="B115" i="6"/>
  <c r="C115" i="6" s="1"/>
  <c r="B121" i="6"/>
  <c r="C121" i="6" s="1"/>
  <c r="B105" i="6"/>
  <c r="C105" i="6" s="1"/>
  <c r="B103" i="6"/>
  <c r="C103" i="6" s="1"/>
  <c r="B140" i="6"/>
  <c r="C140" i="6" s="1"/>
  <c r="B98" i="6"/>
  <c r="C98" i="6" s="1"/>
  <c r="B145" i="6"/>
  <c r="C145" i="6" s="1"/>
  <c r="B93" i="6"/>
  <c r="C93" i="6" s="1"/>
  <c r="B149" i="6"/>
  <c r="C149" i="6" s="1"/>
  <c r="B139" i="6"/>
  <c r="C139" i="6" s="1"/>
  <c r="B132" i="6"/>
  <c r="C132" i="6" s="1"/>
  <c r="B110" i="6"/>
  <c r="C110" i="6" s="1"/>
  <c r="B89" i="6"/>
  <c r="C89" i="6" s="1"/>
  <c r="B92" i="6"/>
  <c r="C92" i="6" s="1"/>
  <c r="B97" i="6"/>
  <c r="C97" i="6" s="1"/>
  <c r="B100" i="6"/>
  <c r="C100" i="6" s="1"/>
  <c r="B122" i="6"/>
  <c r="C122" i="6" s="1"/>
  <c r="B152" i="6"/>
  <c r="C152" i="6" s="1"/>
  <c r="B146" i="6"/>
  <c r="C146" i="6" s="1"/>
  <c r="B142" i="6"/>
  <c r="C142" i="6" s="1"/>
  <c r="B135" i="6"/>
  <c r="C135" i="6" s="1"/>
  <c r="B138" i="6"/>
  <c r="C138" i="6" s="1"/>
  <c r="B125" i="6"/>
  <c r="C125" i="6" s="1"/>
  <c r="B128" i="6"/>
  <c r="C128" i="6" s="1"/>
  <c r="B131" i="6"/>
  <c r="C131" i="6" s="1"/>
  <c r="B108" i="6"/>
  <c r="C108" i="6" s="1"/>
  <c r="B113" i="6"/>
  <c r="C113" i="6" s="1"/>
  <c r="B116" i="6"/>
  <c r="C116" i="6" s="1"/>
  <c r="B119" i="6"/>
  <c r="C119" i="6" s="1"/>
  <c r="B95" i="6"/>
  <c r="C95" i="6" s="1"/>
  <c r="B150" i="6"/>
  <c r="C150" i="6" s="1"/>
  <c r="B133" i="6"/>
  <c r="C133" i="6" s="1"/>
  <c r="B111" i="6"/>
  <c r="C111" i="6" s="1"/>
  <c r="B90" i="6"/>
  <c r="C90" i="6" s="1"/>
  <c r="B144" i="6"/>
  <c r="C144" i="6" s="1"/>
  <c r="B143" i="6"/>
  <c r="C143" i="6" s="1"/>
  <c r="B136" i="6"/>
  <c r="C136" i="6" s="1"/>
  <c r="B123" i="6"/>
  <c r="C123" i="6" s="1"/>
  <c r="B126" i="6"/>
  <c r="C126" i="6" s="1"/>
  <c r="B129" i="6"/>
  <c r="C129" i="6" s="1"/>
  <c r="B106" i="6"/>
  <c r="C106" i="6" s="1"/>
  <c r="B109" i="6"/>
  <c r="C109" i="6" s="1"/>
  <c r="B114" i="6"/>
  <c r="C114" i="6" s="1"/>
  <c r="B117" i="6"/>
  <c r="C117" i="6" s="1"/>
  <c r="B120" i="6"/>
  <c r="C120" i="6" s="1"/>
  <c r="B104" i="6"/>
  <c r="C104" i="6" s="1"/>
  <c r="B134" i="6"/>
  <c r="C134" i="6" s="1"/>
  <c r="B124" i="6"/>
  <c r="C124" i="6" s="1"/>
  <c r="B127" i="6"/>
  <c r="C127" i="6" s="1"/>
  <c r="B112" i="6"/>
  <c r="C112" i="6" s="1"/>
  <c r="B118" i="6"/>
  <c r="C118" i="6" s="1"/>
  <c r="B94" i="6"/>
  <c r="C94" i="6" s="1"/>
  <c r="B101" i="6"/>
  <c r="C101" i="6" s="1"/>
  <c r="B79" i="6"/>
  <c r="C79" i="6" s="1"/>
  <c r="B85" i="6"/>
  <c r="C85" i="6" s="1"/>
  <c r="B9" i="6"/>
  <c r="C9" i="6" s="1"/>
  <c r="B12" i="6"/>
  <c r="C12" i="6" s="1"/>
  <c r="B18" i="6"/>
  <c r="C18" i="6" s="1"/>
  <c r="B21" i="6"/>
  <c r="C21" i="6" s="1"/>
  <c r="B24" i="6"/>
  <c r="C24" i="6" s="1"/>
  <c r="B27" i="6"/>
  <c r="C27" i="6" s="1"/>
  <c r="B30" i="6"/>
  <c r="C30" i="6" s="1"/>
  <c r="B33" i="6"/>
  <c r="C33" i="6" s="1"/>
  <c r="B36" i="6"/>
  <c r="C36" i="6" s="1"/>
  <c r="B39" i="6"/>
  <c r="C39" i="6" s="1"/>
  <c r="B42" i="6"/>
  <c r="C42" i="6" s="1"/>
  <c r="B45" i="6"/>
  <c r="C45" i="6" s="1"/>
  <c r="B48" i="6"/>
  <c r="C48" i="6" s="1"/>
  <c r="B51" i="6"/>
  <c r="C51" i="6" s="1"/>
  <c r="B54" i="6"/>
  <c r="C54" i="6" s="1"/>
  <c r="B57" i="6"/>
  <c r="C57" i="6" s="1"/>
  <c r="B60" i="6"/>
  <c r="C60" i="6" s="1"/>
  <c r="B63" i="6"/>
  <c r="C63" i="6" s="1"/>
  <c r="B66" i="6"/>
  <c r="C66" i="6" s="1"/>
  <c r="B69" i="6"/>
  <c r="C69" i="6" s="1"/>
  <c r="B72" i="6"/>
  <c r="C72" i="6" s="1"/>
  <c r="B75" i="6"/>
  <c r="C75" i="6" s="1"/>
  <c r="B78" i="6"/>
  <c r="C78" i="6" s="1"/>
  <c r="B81" i="6"/>
  <c r="C81" i="6" s="1"/>
  <c r="B8" i="6"/>
  <c r="C8" i="6" s="1"/>
  <c r="B11" i="6"/>
  <c r="C11" i="6" s="1"/>
  <c r="B14" i="6"/>
  <c r="C14" i="6" s="1"/>
  <c r="B17" i="6"/>
  <c r="C17" i="6" s="1"/>
  <c r="B20" i="6"/>
  <c r="C20" i="6" s="1"/>
  <c r="B23" i="6"/>
  <c r="C23" i="6" s="1"/>
  <c r="B26" i="6"/>
  <c r="C26" i="6" s="1"/>
  <c r="B29" i="6"/>
  <c r="C29" i="6" s="1"/>
  <c r="B32" i="6"/>
  <c r="C32" i="6" s="1"/>
  <c r="B35" i="6"/>
  <c r="C35" i="6" s="1"/>
  <c r="B38" i="6"/>
  <c r="C38" i="6" s="1"/>
  <c r="B41" i="6"/>
  <c r="C41" i="6" s="1"/>
  <c r="B44" i="6"/>
  <c r="C44" i="6" s="1"/>
  <c r="B47" i="6"/>
  <c r="C47" i="6" s="1"/>
  <c r="B50" i="6"/>
  <c r="C50" i="6" s="1"/>
  <c r="B53" i="6"/>
  <c r="C53" i="6" s="1"/>
  <c r="B56" i="6"/>
  <c r="C56" i="6" s="1"/>
  <c r="B59" i="6"/>
  <c r="C59" i="6" s="1"/>
  <c r="B62" i="6"/>
  <c r="C62" i="6" s="1"/>
  <c r="B65" i="6"/>
  <c r="C65" i="6" s="1"/>
  <c r="B68" i="6"/>
  <c r="C68" i="6" s="1"/>
  <c r="B71" i="6"/>
  <c r="C71" i="6" s="1"/>
  <c r="B74" i="6"/>
  <c r="C74" i="6" s="1"/>
  <c r="B77" i="6"/>
  <c r="C77" i="6" s="1"/>
  <c r="B80" i="6"/>
  <c r="C80" i="6" s="1"/>
  <c r="B83" i="6"/>
  <c r="C83" i="6" s="1"/>
  <c r="B86" i="6"/>
  <c r="C86" i="6" s="1"/>
  <c r="B82" i="6"/>
  <c r="C82" i="6" s="1"/>
  <c r="B84" i="6"/>
  <c r="C84" i="6" s="1"/>
  <c r="B87" i="6"/>
  <c r="C87" i="6" s="1"/>
  <c r="B15" i="6"/>
  <c r="C15" i="6" s="1"/>
  <c r="B7" i="6"/>
  <c r="C7" i="6" s="1"/>
  <c r="B10" i="6"/>
  <c r="C10" i="6" s="1"/>
  <c r="B13" i="6"/>
  <c r="C13" i="6" s="1"/>
  <c r="B16" i="6"/>
  <c r="C16" i="6" s="1"/>
  <c r="B19" i="6"/>
  <c r="C19" i="6" s="1"/>
  <c r="B22" i="6"/>
  <c r="C22" i="6" s="1"/>
  <c r="B25" i="6"/>
  <c r="C25" i="6" s="1"/>
  <c r="B28" i="6"/>
  <c r="C28" i="6" s="1"/>
  <c r="B31" i="6"/>
  <c r="C31" i="6" s="1"/>
  <c r="B34" i="6"/>
  <c r="C34" i="6" s="1"/>
  <c r="B37" i="6"/>
  <c r="C37" i="6" s="1"/>
  <c r="B40" i="6"/>
  <c r="C40" i="6" s="1"/>
  <c r="B43" i="6"/>
  <c r="C43" i="6" s="1"/>
  <c r="B46" i="6"/>
  <c r="C46" i="6" s="1"/>
  <c r="B49" i="6"/>
  <c r="C49" i="6" s="1"/>
  <c r="B52" i="6"/>
  <c r="C52" i="6" s="1"/>
  <c r="B55" i="6"/>
  <c r="C55" i="6" s="1"/>
  <c r="B58" i="6"/>
  <c r="C58" i="6" s="1"/>
  <c r="B61" i="6"/>
  <c r="C61" i="6" s="1"/>
  <c r="B64" i="6"/>
  <c r="C64" i="6" s="1"/>
  <c r="B67" i="6"/>
  <c r="C67" i="6" s="1"/>
  <c r="B70" i="6"/>
  <c r="C70" i="6" s="1"/>
  <c r="B73" i="6"/>
  <c r="C73" i="6" s="1"/>
  <c r="B76" i="6"/>
  <c r="C76" i="6" s="1"/>
  <c r="B7" i="5"/>
  <c r="C7" i="5" s="1"/>
  <c r="B12" i="4"/>
  <c r="C12" i="4" s="1"/>
  <c r="B21" i="4"/>
  <c r="C21" i="4" s="1"/>
  <c r="B30" i="4"/>
  <c r="C30" i="4" s="1"/>
  <c r="B39" i="4"/>
  <c r="C39" i="4" s="1"/>
  <c r="B48" i="4"/>
  <c r="C48" i="4" s="1"/>
  <c r="B57" i="4"/>
  <c r="C57" i="4" s="1"/>
  <c r="B66" i="4"/>
  <c r="C66" i="4" s="1"/>
  <c r="B75" i="4"/>
  <c r="C75" i="4" s="1"/>
  <c r="B9" i="4"/>
  <c r="C9" i="4" s="1"/>
  <c r="B18" i="4"/>
  <c r="C18" i="4" s="1"/>
  <c r="B27" i="4"/>
  <c r="C27" i="4" s="1"/>
  <c r="B45" i="4"/>
  <c r="C45" i="4" s="1"/>
  <c r="B54" i="4"/>
  <c r="C54" i="4" s="1"/>
  <c r="B63" i="4"/>
  <c r="C63" i="4" s="1"/>
  <c r="B72" i="4"/>
  <c r="C72" i="4" s="1"/>
  <c r="B36" i="4"/>
  <c r="C36" i="4" s="1"/>
  <c r="B8" i="4"/>
  <c r="C8" i="4" s="1"/>
  <c r="B11" i="4"/>
  <c r="C11" i="4" s="1"/>
  <c r="B14" i="4"/>
  <c r="C14" i="4" s="1"/>
  <c r="B17" i="4"/>
  <c r="C17" i="4" s="1"/>
  <c r="B20" i="4"/>
  <c r="C20" i="4" s="1"/>
  <c r="B23" i="4"/>
  <c r="C23" i="4" s="1"/>
  <c r="B26" i="4"/>
  <c r="C26" i="4" s="1"/>
  <c r="B29" i="4"/>
  <c r="C29" i="4" s="1"/>
  <c r="B32" i="4"/>
  <c r="C32" i="4" s="1"/>
  <c r="B35" i="4"/>
  <c r="C35" i="4" s="1"/>
  <c r="B38" i="4"/>
  <c r="C38" i="4" s="1"/>
  <c r="B41" i="4"/>
  <c r="C41" i="4" s="1"/>
  <c r="B44" i="4"/>
  <c r="C44" i="4" s="1"/>
  <c r="B47" i="4"/>
  <c r="C47" i="4" s="1"/>
  <c r="B50" i="4"/>
  <c r="C50" i="4" s="1"/>
  <c r="B53" i="4"/>
  <c r="C53" i="4" s="1"/>
  <c r="B56" i="4"/>
  <c r="C56" i="4" s="1"/>
  <c r="B59" i="4"/>
  <c r="C59" i="4" s="1"/>
  <c r="B62" i="4"/>
  <c r="C62" i="4" s="1"/>
  <c r="B65" i="4"/>
  <c r="C65" i="4" s="1"/>
  <c r="B68" i="4"/>
  <c r="C68" i="4" s="1"/>
  <c r="B71" i="4"/>
  <c r="C71" i="4" s="1"/>
  <c r="B74" i="4"/>
  <c r="C74" i="4" s="1"/>
  <c r="B77" i="4"/>
  <c r="C77" i="4" s="1"/>
  <c r="G9" i="4"/>
  <c r="G12" i="4"/>
  <c r="G15" i="4"/>
  <c r="G18" i="4"/>
  <c r="G21" i="4"/>
  <c r="G24" i="4"/>
  <c r="G27" i="4"/>
  <c r="G30" i="4"/>
  <c r="G33" i="4"/>
  <c r="G36" i="4"/>
  <c r="G39" i="4"/>
  <c r="G42" i="4"/>
  <c r="G45" i="4"/>
  <c r="G48" i="4"/>
  <c r="G51" i="4"/>
  <c r="G54" i="4"/>
  <c r="G57" i="4"/>
  <c r="G60" i="4"/>
  <c r="G63" i="4"/>
  <c r="G66" i="4"/>
  <c r="G69" i="4"/>
  <c r="G72" i="4"/>
  <c r="B7" i="4"/>
  <c r="C7" i="4" s="1"/>
  <c r="B10" i="4"/>
  <c r="C10" i="4" s="1"/>
  <c r="B13" i="4"/>
  <c r="C13" i="4" s="1"/>
  <c r="B16" i="4"/>
  <c r="C16" i="4" s="1"/>
  <c r="B19" i="4"/>
  <c r="C19" i="4" s="1"/>
  <c r="B22" i="4"/>
  <c r="C22" i="4" s="1"/>
  <c r="B25" i="4"/>
  <c r="C25" i="4" s="1"/>
  <c r="B28" i="4"/>
  <c r="C28" i="4" s="1"/>
  <c r="B31" i="4"/>
  <c r="C31" i="4" s="1"/>
  <c r="B34" i="4"/>
  <c r="C34" i="4" s="1"/>
  <c r="B37" i="4"/>
  <c r="C37" i="4" s="1"/>
  <c r="B40" i="4"/>
  <c r="C40" i="4" s="1"/>
  <c r="B43" i="4"/>
  <c r="C43" i="4" s="1"/>
  <c r="B46" i="4"/>
  <c r="C46" i="4" s="1"/>
  <c r="B49" i="4"/>
  <c r="C49" i="4" s="1"/>
  <c r="B52" i="4"/>
  <c r="C52" i="4" s="1"/>
  <c r="B55" i="4"/>
  <c r="C55" i="4" s="1"/>
  <c r="B58" i="4"/>
  <c r="C58" i="4" s="1"/>
  <c r="B61" i="4"/>
  <c r="C61" i="4" s="1"/>
  <c r="B64" i="4"/>
  <c r="C64" i="4" s="1"/>
  <c r="B67" i="4"/>
  <c r="C67" i="4" s="1"/>
  <c r="B70" i="4"/>
  <c r="C70" i="4" s="1"/>
  <c r="B73" i="4"/>
  <c r="C73" i="4" s="1"/>
  <c r="F77" i="3" l="1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E4" i="3"/>
  <c r="B77" i="3" s="1"/>
  <c r="C77" i="3" s="1"/>
  <c r="E3" i="3"/>
  <c r="I2" i="3"/>
  <c r="G75" i="3" s="1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I2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" i="2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" i="1"/>
  <c r="E4" i="2"/>
  <c r="E3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" i="1"/>
  <c r="C8" i="1"/>
  <c r="E3" i="1"/>
  <c r="E4" i="1"/>
  <c r="B8" i="1" s="1"/>
  <c r="G76" i="3" l="1"/>
  <c r="G77" i="3"/>
  <c r="B8" i="3"/>
  <c r="C8" i="3" s="1"/>
  <c r="B10" i="3"/>
  <c r="C10" i="3" s="1"/>
  <c r="B12" i="3"/>
  <c r="C12" i="3" s="1"/>
  <c r="B14" i="3"/>
  <c r="C14" i="3" s="1"/>
  <c r="B16" i="3"/>
  <c r="C16" i="3" s="1"/>
  <c r="B18" i="3"/>
  <c r="C18" i="3" s="1"/>
  <c r="B20" i="3"/>
  <c r="C20" i="3" s="1"/>
  <c r="B22" i="3"/>
  <c r="C22" i="3" s="1"/>
  <c r="B24" i="3"/>
  <c r="C24" i="3" s="1"/>
  <c r="B26" i="3"/>
  <c r="C26" i="3" s="1"/>
  <c r="B28" i="3"/>
  <c r="C28" i="3" s="1"/>
  <c r="B30" i="3"/>
  <c r="C30" i="3" s="1"/>
  <c r="B32" i="3"/>
  <c r="C32" i="3" s="1"/>
  <c r="B34" i="3"/>
  <c r="C34" i="3" s="1"/>
  <c r="B36" i="3"/>
  <c r="C36" i="3" s="1"/>
  <c r="B38" i="3"/>
  <c r="C38" i="3" s="1"/>
  <c r="B40" i="3"/>
  <c r="C40" i="3" s="1"/>
  <c r="B42" i="3"/>
  <c r="C42" i="3" s="1"/>
  <c r="B44" i="3"/>
  <c r="C44" i="3" s="1"/>
  <c r="B46" i="3"/>
  <c r="C46" i="3" s="1"/>
  <c r="B48" i="3"/>
  <c r="C48" i="3" s="1"/>
  <c r="B50" i="3"/>
  <c r="C50" i="3" s="1"/>
  <c r="B52" i="3"/>
  <c r="C52" i="3" s="1"/>
  <c r="B54" i="3"/>
  <c r="C54" i="3" s="1"/>
  <c r="B56" i="3"/>
  <c r="C56" i="3" s="1"/>
  <c r="B58" i="3"/>
  <c r="C58" i="3" s="1"/>
  <c r="B60" i="3"/>
  <c r="C60" i="3" s="1"/>
  <c r="B62" i="3"/>
  <c r="C62" i="3" s="1"/>
  <c r="B64" i="3"/>
  <c r="C64" i="3" s="1"/>
  <c r="B66" i="3"/>
  <c r="C66" i="3" s="1"/>
  <c r="B68" i="3"/>
  <c r="C68" i="3" s="1"/>
  <c r="B70" i="3"/>
  <c r="C70" i="3" s="1"/>
  <c r="B72" i="3"/>
  <c r="C72" i="3" s="1"/>
  <c r="B74" i="3"/>
  <c r="C74" i="3" s="1"/>
  <c r="B76" i="3"/>
  <c r="C76" i="3" s="1"/>
  <c r="G8" i="3"/>
  <c r="G10" i="3"/>
  <c r="G12" i="3"/>
  <c r="G14" i="3"/>
  <c r="G16" i="3"/>
  <c r="G18" i="3"/>
  <c r="G20" i="3"/>
  <c r="G22" i="3"/>
  <c r="G24" i="3"/>
  <c r="G26" i="3"/>
  <c r="G28" i="3"/>
  <c r="G30" i="3"/>
  <c r="G32" i="3"/>
  <c r="G34" i="3"/>
  <c r="G36" i="3"/>
  <c r="G38" i="3"/>
  <c r="G40" i="3"/>
  <c r="G42" i="3"/>
  <c r="G44" i="3"/>
  <c r="G46" i="3"/>
  <c r="G48" i="3"/>
  <c r="G50" i="3"/>
  <c r="G52" i="3"/>
  <c r="G54" i="3"/>
  <c r="G56" i="3"/>
  <c r="G58" i="3"/>
  <c r="G60" i="3"/>
  <c r="G62" i="3"/>
  <c r="G64" i="3"/>
  <c r="G66" i="3"/>
  <c r="G68" i="3"/>
  <c r="G70" i="3"/>
  <c r="G72" i="3"/>
  <c r="G74" i="3"/>
  <c r="B7" i="3"/>
  <c r="C7" i="3" s="1"/>
  <c r="B9" i="3"/>
  <c r="C9" i="3" s="1"/>
  <c r="B11" i="3"/>
  <c r="C11" i="3" s="1"/>
  <c r="B13" i="3"/>
  <c r="C13" i="3" s="1"/>
  <c r="B15" i="3"/>
  <c r="C15" i="3" s="1"/>
  <c r="B17" i="3"/>
  <c r="C17" i="3" s="1"/>
  <c r="B19" i="3"/>
  <c r="C19" i="3" s="1"/>
  <c r="B21" i="3"/>
  <c r="C21" i="3" s="1"/>
  <c r="B23" i="3"/>
  <c r="C23" i="3" s="1"/>
  <c r="B25" i="3"/>
  <c r="C25" i="3" s="1"/>
  <c r="B27" i="3"/>
  <c r="C27" i="3" s="1"/>
  <c r="B29" i="3"/>
  <c r="C29" i="3" s="1"/>
  <c r="B31" i="3"/>
  <c r="C31" i="3" s="1"/>
  <c r="B33" i="3"/>
  <c r="C33" i="3" s="1"/>
  <c r="B35" i="3"/>
  <c r="C35" i="3" s="1"/>
  <c r="B37" i="3"/>
  <c r="C37" i="3" s="1"/>
  <c r="B39" i="3"/>
  <c r="C39" i="3" s="1"/>
  <c r="B41" i="3"/>
  <c r="C41" i="3" s="1"/>
  <c r="B43" i="3"/>
  <c r="C43" i="3" s="1"/>
  <c r="B45" i="3"/>
  <c r="C45" i="3" s="1"/>
  <c r="B47" i="3"/>
  <c r="C47" i="3" s="1"/>
  <c r="B49" i="3"/>
  <c r="C49" i="3" s="1"/>
  <c r="B51" i="3"/>
  <c r="C51" i="3" s="1"/>
  <c r="B53" i="3"/>
  <c r="C53" i="3" s="1"/>
  <c r="B55" i="3"/>
  <c r="C55" i="3" s="1"/>
  <c r="B57" i="3"/>
  <c r="C57" i="3" s="1"/>
  <c r="B59" i="3"/>
  <c r="C59" i="3" s="1"/>
  <c r="B61" i="3"/>
  <c r="C61" i="3" s="1"/>
  <c r="B63" i="3"/>
  <c r="C63" i="3" s="1"/>
  <c r="B65" i="3"/>
  <c r="C65" i="3" s="1"/>
  <c r="B67" i="3"/>
  <c r="C67" i="3" s="1"/>
  <c r="B69" i="3"/>
  <c r="C69" i="3" s="1"/>
  <c r="B71" i="3"/>
  <c r="C71" i="3" s="1"/>
  <c r="B73" i="3"/>
  <c r="C73" i="3" s="1"/>
  <c r="B75" i="3"/>
  <c r="C75" i="3" s="1"/>
  <c r="G7" i="3"/>
  <c r="G9" i="3"/>
  <c r="G11" i="3"/>
  <c r="G13" i="3"/>
  <c r="G15" i="3"/>
  <c r="G17" i="3"/>
  <c r="G19" i="3"/>
  <c r="G21" i="3"/>
  <c r="G23" i="3"/>
  <c r="G25" i="3"/>
  <c r="G27" i="3"/>
  <c r="G29" i="3"/>
  <c r="G31" i="3"/>
  <c r="G33" i="3"/>
  <c r="G35" i="3"/>
  <c r="G37" i="3"/>
  <c r="G39" i="3"/>
  <c r="G41" i="3"/>
  <c r="G43" i="3"/>
  <c r="G45" i="3"/>
  <c r="G47" i="3"/>
  <c r="G49" i="3"/>
  <c r="G51" i="3"/>
  <c r="G53" i="3"/>
  <c r="G55" i="3"/>
  <c r="G57" i="3"/>
  <c r="G59" i="3"/>
  <c r="G61" i="3"/>
  <c r="G63" i="3"/>
  <c r="G65" i="3"/>
  <c r="G67" i="3"/>
  <c r="G69" i="3"/>
  <c r="G71" i="3"/>
  <c r="G73" i="3"/>
  <c r="B76" i="2"/>
  <c r="C76" i="2" s="1"/>
  <c r="B20" i="2"/>
  <c r="C20" i="2" s="1"/>
  <c r="B52" i="2"/>
  <c r="C52" i="2" s="1"/>
  <c r="B48" i="2"/>
  <c r="C48" i="2" s="1"/>
  <c r="B24" i="2"/>
  <c r="C24" i="2" s="1"/>
  <c r="B28" i="2"/>
  <c r="C28" i="2" s="1"/>
  <c r="B56" i="2"/>
  <c r="C56" i="2" s="1"/>
  <c r="B32" i="2"/>
  <c r="C32" i="2" s="1"/>
  <c r="B60" i="2"/>
  <c r="C60" i="2" s="1"/>
  <c r="B36" i="2"/>
  <c r="C36" i="2" s="1"/>
  <c r="B64" i="2"/>
  <c r="C64" i="2" s="1"/>
  <c r="B16" i="2"/>
  <c r="C16" i="2" s="1"/>
  <c r="B8" i="2"/>
  <c r="C8" i="2" s="1"/>
  <c r="B40" i="2"/>
  <c r="C40" i="2" s="1"/>
  <c r="B68" i="2"/>
  <c r="C68" i="2" s="1"/>
  <c r="B12" i="2"/>
  <c r="C12" i="2" s="1"/>
  <c r="B44" i="2"/>
  <c r="C44" i="2" s="1"/>
  <c r="B72" i="2"/>
  <c r="C72" i="2" s="1"/>
  <c r="B9" i="2"/>
  <c r="C9" i="2" s="1"/>
  <c r="B13" i="2"/>
  <c r="C13" i="2" s="1"/>
  <c r="B17" i="2"/>
  <c r="C17" i="2" s="1"/>
  <c r="B21" i="2"/>
  <c r="C21" i="2" s="1"/>
  <c r="B25" i="2"/>
  <c r="C25" i="2" s="1"/>
  <c r="B29" i="2"/>
  <c r="C29" i="2" s="1"/>
  <c r="B33" i="2"/>
  <c r="C33" i="2" s="1"/>
  <c r="B37" i="2"/>
  <c r="C37" i="2" s="1"/>
  <c r="B41" i="2"/>
  <c r="C41" i="2" s="1"/>
  <c r="B45" i="2"/>
  <c r="C45" i="2" s="1"/>
  <c r="B49" i="2"/>
  <c r="C49" i="2" s="1"/>
  <c r="B53" i="2"/>
  <c r="C53" i="2" s="1"/>
  <c r="B57" i="2"/>
  <c r="C57" i="2" s="1"/>
  <c r="B61" i="2"/>
  <c r="C61" i="2" s="1"/>
  <c r="B65" i="2"/>
  <c r="C65" i="2" s="1"/>
  <c r="B69" i="2"/>
  <c r="C69" i="2" s="1"/>
  <c r="B73" i="2"/>
  <c r="C73" i="2" s="1"/>
  <c r="B77" i="2"/>
  <c r="C77" i="2" s="1"/>
  <c r="B74" i="2"/>
  <c r="C74" i="2" s="1"/>
  <c r="B10" i="2"/>
  <c r="C10" i="2" s="1"/>
  <c r="B14" i="2"/>
  <c r="C14" i="2" s="1"/>
  <c r="B18" i="2"/>
  <c r="C18" i="2" s="1"/>
  <c r="B22" i="2"/>
  <c r="C22" i="2" s="1"/>
  <c r="B26" i="2"/>
  <c r="C26" i="2" s="1"/>
  <c r="B30" i="2"/>
  <c r="C30" i="2" s="1"/>
  <c r="B34" i="2"/>
  <c r="C34" i="2" s="1"/>
  <c r="B38" i="2"/>
  <c r="C38" i="2" s="1"/>
  <c r="B42" i="2"/>
  <c r="C42" i="2" s="1"/>
  <c r="B46" i="2"/>
  <c r="C46" i="2" s="1"/>
  <c r="B50" i="2"/>
  <c r="C50" i="2" s="1"/>
  <c r="B54" i="2"/>
  <c r="C54" i="2" s="1"/>
  <c r="B58" i="2"/>
  <c r="C58" i="2" s="1"/>
  <c r="B62" i="2"/>
  <c r="C62" i="2" s="1"/>
  <c r="B66" i="2"/>
  <c r="C66" i="2" s="1"/>
  <c r="B70" i="2"/>
  <c r="C70" i="2" s="1"/>
  <c r="B7" i="2"/>
  <c r="C7" i="2" s="1"/>
  <c r="B11" i="2"/>
  <c r="C11" i="2" s="1"/>
  <c r="B15" i="2"/>
  <c r="C15" i="2" s="1"/>
  <c r="B19" i="2"/>
  <c r="C19" i="2" s="1"/>
  <c r="B23" i="2"/>
  <c r="C23" i="2" s="1"/>
  <c r="B27" i="2"/>
  <c r="C27" i="2" s="1"/>
  <c r="B31" i="2"/>
  <c r="C31" i="2" s="1"/>
  <c r="B35" i="2"/>
  <c r="C35" i="2" s="1"/>
  <c r="B39" i="2"/>
  <c r="C39" i="2" s="1"/>
  <c r="B43" i="2"/>
  <c r="C43" i="2" s="1"/>
  <c r="B47" i="2"/>
  <c r="C47" i="2" s="1"/>
  <c r="B51" i="2"/>
  <c r="C51" i="2" s="1"/>
  <c r="B55" i="2"/>
  <c r="C55" i="2" s="1"/>
  <c r="B59" i="2"/>
  <c r="C59" i="2" s="1"/>
  <c r="B63" i="2"/>
  <c r="C63" i="2" s="1"/>
  <c r="B67" i="2"/>
  <c r="C67" i="2" s="1"/>
  <c r="B71" i="2"/>
  <c r="C71" i="2" s="1"/>
  <c r="B75" i="2"/>
  <c r="C75" i="2" s="1"/>
  <c r="B55" i="1"/>
  <c r="B7" i="1"/>
  <c r="B30" i="1"/>
  <c r="B61" i="1"/>
  <c r="B13" i="1"/>
  <c r="B76" i="1"/>
  <c r="B68" i="1"/>
  <c r="B60" i="1"/>
  <c r="B52" i="1"/>
  <c r="B44" i="1"/>
  <c r="B36" i="1"/>
  <c r="B28" i="1"/>
  <c r="B20" i="1"/>
  <c r="B12" i="1"/>
  <c r="B71" i="1"/>
  <c r="B46" i="1"/>
  <c r="B47" i="1"/>
  <c r="B23" i="1"/>
  <c r="B70" i="1"/>
  <c r="B54" i="1"/>
  <c r="B38" i="1"/>
  <c r="B14" i="1"/>
  <c r="B69" i="1"/>
  <c r="B45" i="1"/>
  <c r="B37" i="1"/>
  <c r="B21" i="1"/>
  <c r="B59" i="1"/>
  <c r="B43" i="1"/>
  <c r="B27" i="1"/>
  <c r="B11" i="1"/>
  <c r="B74" i="1"/>
  <c r="B66" i="1"/>
  <c r="B58" i="1"/>
  <c r="B50" i="1"/>
  <c r="B42" i="1"/>
  <c r="B34" i="1"/>
  <c r="B26" i="1"/>
  <c r="B18" i="1"/>
  <c r="B10" i="1"/>
  <c r="B63" i="1"/>
  <c r="B39" i="1"/>
  <c r="B31" i="1"/>
  <c r="B15" i="1"/>
  <c r="B62" i="1"/>
  <c r="B22" i="1"/>
  <c r="B77" i="1"/>
  <c r="B53" i="1"/>
  <c r="B29" i="1"/>
  <c r="B75" i="1"/>
  <c r="B67" i="1"/>
  <c r="B51" i="1"/>
  <c r="B35" i="1"/>
  <c r="B19" i="1"/>
  <c r="B73" i="1"/>
  <c r="B65" i="1"/>
  <c r="B57" i="1"/>
  <c r="B49" i="1"/>
  <c r="B41" i="1"/>
  <c r="B33" i="1"/>
  <c r="B25" i="1"/>
  <c r="B17" i="1"/>
  <c r="B9" i="1"/>
  <c r="B72" i="1"/>
  <c r="B64" i="1"/>
  <c r="B56" i="1"/>
  <c r="B48" i="1"/>
  <c r="B40" i="1"/>
  <c r="B32" i="1"/>
  <c r="B24" i="1"/>
  <c r="B16" i="1"/>
</calcChain>
</file>

<file path=xl/sharedStrings.xml><?xml version="1.0" encoding="utf-8"?>
<sst xmlns="http://schemas.openxmlformats.org/spreadsheetml/2006/main" count="123" uniqueCount="20">
  <si>
    <t>DAC count</t>
  </si>
  <si>
    <t>DAC resolution</t>
  </si>
  <si>
    <t>DAC FS</t>
  </si>
  <si>
    <t>V</t>
  </si>
  <si>
    <t>bits</t>
  </si>
  <si>
    <t>DAC Vmin</t>
  </si>
  <si>
    <t>DAC Vmax</t>
  </si>
  <si>
    <t>Vout teorica</t>
  </si>
  <si>
    <t>Vout Max</t>
  </si>
  <si>
    <t>Vout Min</t>
  </si>
  <si>
    <t>Vdac Vmax</t>
  </si>
  <si>
    <t>Vdac Vmin</t>
  </si>
  <si>
    <t>mV</t>
  </si>
  <si>
    <t>Voltaje DAC
Teorico</t>
  </si>
  <si>
    <t>Vout teorico
(mV)</t>
  </si>
  <si>
    <t xml:space="preserve">Vout medido
(mV) </t>
  </si>
  <si>
    <t>Diff</t>
  </si>
  <si>
    <t>Error(mV)</t>
  </si>
  <si>
    <t>Escalon Cuantificacion</t>
  </si>
  <si>
    <t>Err(q)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</si>
</sst>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1" fillId="3" borderId="0" xfId="0" applyFont="1" applyFill="1"/>
    <xf numFmtId="164" fontId="0" fillId="2" borderId="0" xfId="0" applyNumberFormat="1" applyFill="1"/>
    <xf numFmtId="0" fontId="2" fillId="4" borderId="0" xfId="0" applyFont="1" applyFill="1"/>
    <xf numFmtId="1" fontId="2" fillId="4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91F0E7-21EB-4F32-BECB-F9BD21B33C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'120-1420'!$D$6</c:f>
              <c:strCache>
                <c:ptCount val="1"/>
                <c:pt idx="0">
                  <c:v>Vout teorico
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'120-1420'!$D$7:$D$77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4-4C6E-B1DF-EE4691356935}"/>
            </c:ext>
          </c:extLst>
        </c:ser>
        <c:ser>
          <c:idx val="1"/>
          <c:order val="1"/>
          <c:tx>
            <c:strRef>
              <c:f>'120-1420'!$E$6</c:f>
              <c:strCache>
                <c:ptCount val="1"/>
                <c:pt idx="0">
                  <c:v>Vout medido
(mV)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'120-1420'!$E$7:$E$77</c:f>
              <c:numCache>
                <c:formatCode>General</c:formatCode>
                <c:ptCount val="71"/>
                <c:pt idx="0">
                  <c:v>5092</c:v>
                </c:pt>
                <c:pt idx="1">
                  <c:v>5190</c:v>
                </c:pt>
                <c:pt idx="2">
                  <c:v>5283</c:v>
                </c:pt>
                <c:pt idx="3">
                  <c:v>5393</c:v>
                </c:pt>
                <c:pt idx="4">
                  <c:v>5488</c:v>
                </c:pt>
                <c:pt idx="5">
                  <c:v>5582</c:v>
                </c:pt>
                <c:pt idx="6">
                  <c:v>5694</c:v>
                </c:pt>
                <c:pt idx="7">
                  <c:v>5788</c:v>
                </c:pt>
                <c:pt idx="8">
                  <c:v>5882</c:v>
                </c:pt>
                <c:pt idx="9">
                  <c:v>5995</c:v>
                </c:pt>
                <c:pt idx="10">
                  <c:v>6088</c:v>
                </c:pt>
                <c:pt idx="11">
                  <c:v>6184</c:v>
                </c:pt>
                <c:pt idx="12">
                  <c:v>6294</c:v>
                </c:pt>
                <c:pt idx="13">
                  <c:v>6388</c:v>
                </c:pt>
                <c:pt idx="14">
                  <c:v>6483</c:v>
                </c:pt>
                <c:pt idx="15">
                  <c:v>6594</c:v>
                </c:pt>
                <c:pt idx="16">
                  <c:v>6689</c:v>
                </c:pt>
                <c:pt idx="17">
                  <c:v>6783</c:v>
                </c:pt>
                <c:pt idx="18">
                  <c:v>6894</c:v>
                </c:pt>
                <c:pt idx="19">
                  <c:v>6989</c:v>
                </c:pt>
                <c:pt idx="20">
                  <c:v>7085</c:v>
                </c:pt>
                <c:pt idx="21">
                  <c:v>7197</c:v>
                </c:pt>
                <c:pt idx="22">
                  <c:v>7291</c:v>
                </c:pt>
                <c:pt idx="23">
                  <c:v>7387</c:v>
                </c:pt>
                <c:pt idx="24">
                  <c:v>7499</c:v>
                </c:pt>
                <c:pt idx="25">
                  <c:v>7592</c:v>
                </c:pt>
                <c:pt idx="26">
                  <c:v>7687</c:v>
                </c:pt>
                <c:pt idx="27">
                  <c:v>7799</c:v>
                </c:pt>
                <c:pt idx="28">
                  <c:v>7893</c:v>
                </c:pt>
                <c:pt idx="29">
                  <c:v>7989</c:v>
                </c:pt>
                <c:pt idx="30">
                  <c:v>8099</c:v>
                </c:pt>
                <c:pt idx="31">
                  <c:v>8194</c:v>
                </c:pt>
                <c:pt idx="32">
                  <c:v>8290</c:v>
                </c:pt>
                <c:pt idx="33">
                  <c:v>8401</c:v>
                </c:pt>
                <c:pt idx="34">
                  <c:v>8499</c:v>
                </c:pt>
                <c:pt idx="35">
                  <c:v>8609</c:v>
                </c:pt>
                <c:pt idx="36">
                  <c:v>8703</c:v>
                </c:pt>
                <c:pt idx="37">
                  <c:v>8799</c:v>
                </c:pt>
                <c:pt idx="38">
                  <c:v>8909</c:v>
                </c:pt>
                <c:pt idx="39">
                  <c:v>9005</c:v>
                </c:pt>
                <c:pt idx="40">
                  <c:v>9100</c:v>
                </c:pt>
                <c:pt idx="41">
                  <c:v>9211</c:v>
                </c:pt>
                <c:pt idx="42">
                  <c:v>9306</c:v>
                </c:pt>
                <c:pt idx="43">
                  <c:v>9401</c:v>
                </c:pt>
                <c:pt idx="44">
                  <c:v>9512</c:v>
                </c:pt>
                <c:pt idx="45">
                  <c:v>9606</c:v>
                </c:pt>
                <c:pt idx="46">
                  <c:v>9700</c:v>
                </c:pt>
                <c:pt idx="47">
                  <c:v>9813</c:v>
                </c:pt>
                <c:pt idx="48">
                  <c:v>9907</c:v>
                </c:pt>
                <c:pt idx="49">
                  <c:v>10003</c:v>
                </c:pt>
                <c:pt idx="50">
                  <c:v>10113</c:v>
                </c:pt>
                <c:pt idx="51">
                  <c:v>10207</c:v>
                </c:pt>
                <c:pt idx="52">
                  <c:v>10302</c:v>
                </c:pt>
                <c:pt idx="53">
                  <c:v>10413</c:v>
                </c:pt>
                <c:pt idx="54">
                  <c:v>10509</c:v>
                </c:pt>
                <c:pt idx="55">
                  <c:v>10602</c:v>
                </c:pt>
                <c:pt idx="56">
                  <c:v>10713</c:v>
                </c:pt>
                <c:pt idx="57">
                  <c:v>10809</c:v>
                </c:pt>
                <c:pt idx="58">
                  <c:v>10903</c:v>
                </c:pt>
                <c:pt idx="59">
                  <c:v>11015</c:v>
                </c:pt>
                <c:pt idx="60">
                  <c:v>11109</c:v>
                </c:pt>
                <c:pt idx="61">
                  <c:v>11203</c:v>
                </c:pt>
                <c:pt idx="62">
                  <c:v>11315</c:v>
                </c:pt>
                <c:pt idx="63">
                  <c:v>11409</c:v>
                </c:pt>
                <c:pt idx="64">
                  <c:v>11506</c:v>
                </c:pt>
                <c:pt idx="65">
                  <c:v>11616</c:v>
                </c:pt>
                <c:pt idx="66">
                  <c:v>11712</c:v>
                </c:pt>
                <c:pt idx="67">
                  <c:v>11807</c:v>
                </c:pt>
                <c:pt idx="68">
                  <c:v>11918</c:v>
                </c:pt>
                <c:pt idx="69">
                  <c:v>12014</c:v>
                </c:pt>
                <c:pt idx="70">
                  <c:v>12123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C4-4C6E-B1DF-EE4691356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085360"/>
        <c:axId val="1693088272"/>
      </c:lineChart>
      <c:catAx>
        <c:axId val="169308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8272"/>
        <c:crosses val="autoZero"/>
        <c:auto val="1"/>
        <c:lblAlgn val="ctr"/>
        <c:lblOffset val="100"/>
        <c:noMultiLvlLbl val="0"/>
      </c:catAx>
      <c:valAx>
        <c:axId val="1693088272"/>
        <c:scaling>
          <c:orientation val="minMax"/>
          <c:max val="13000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'120-1420'!$F$6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'120-1420'!$D$7:$D$77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xVal>
          <c:yVal>
            <c:numRef>
              <c:f>'120-1420'!$F$7:$F$77</c:f>
              <c:numCache>
                <c:formatCode>General</c:formatCode>
                <c:ptCount val="71"/>
                <c:pt idx="0">
                  <c:v>92</c:v>
                </c:pt>
                <c:pt idx="1">
                  <c:v>90</c:v>
                </c:pt>
                <c:pt idx="2">
                  <c:v>83</c:v>
                </c:pt>
                <c:pt idx="3">
                  <c:v>93</c:v>
                </c:pt>
                <c:pt idx="4">
                  <c:v>88</c:v>
                </c:pt>
                <c:pt idx="5">
                  <c:v>82</c:v>
                </c:pt>
                <c:pt idx="6">
                  <c:v>94</c:v>
                </c:pt>
                <c:pt idx="7">
                  <c:v>88</c:v>
                </c:pt>
                <c:pt idx="8">
                  <c:v>82</c:v>
                </c:pt>
                <c:pt idx="9">
                  <c:v>95</c:v>
                </c:pt>
                <c:pt idx="10">
                  <c:v>88</c:v>
                </c:pt>
                <c:pt idx="11">
                  <c:v>84</c:v>
                </c:pt>
                <c:pt idx="12">
                  <c:v>94</c:v>
                </c:pt>
                <c:pt idx="13">
                  <c:v>88</c:v>
                </c:pt>
                <c:pt idx="14">
                  <c:v>83</c:v>
                </c:pt>
                <c:pt idx="15">
                  <c:v>94</c:v>
                </c:pt>
                <c:pt idx="16">
                  <c:v>89</c:v>
                </c:pt>
                <c:pt idx="17">
                  <c:v>83</c:v>
                </c:pt>
                <c:pt idx="18">
                  <c:v>94</c:v>
                </c:pt>
                <c:pt idx="19">
                  <c:v>89</c:v>
                </c:pt>
                <c:pt idx="20">
                  <c:v>85</c:v>
                </c:pt>
                <c:pt idx="21">
                  <c:v>97</c:v>
                </c:pt>
                <c:pt idx="22">
                  <c:v>91</c:v>
                </c:pt>
                <c:pt idx="23">
                  <c:v>87</c:v>
                </c:pt>
                <c:pt idx="24">
                  <c:v>99</c:v>
                </c:pt>
                <c:pt idx="25">
                  <c:v>92</c:v>
                </c:pt>
                <c:pt idx="26">
                  <c:v>87</c:v>
                </c:pt>
                <c:pt idx="27">
                  <c:v>99</c:v>
                </c:pt>
                <c:pt idx="28">
                  <c:v>93</c:v>
                </c:pt>
                <c:pt idx="29">
                  <c:v>89</c:v>
                </c:pt>
                <c:pt idx="30">
                  <c:v>99</c:v>
                </c:pt>
                <c:pt idx="31">
                  <c:v>94</c:v>
                </c:pt>
                <c:pt idx="32">
                  <c:v>90</c:v>
                </c:pt>
                <c:pt idx="33">
                  <c:v>101</c:v>
                </c:pt>
                <c:pt idx="34">
                  <c:v>99</c:v>
                </c:pt>
                <c:pt idx="35">
                  <c:v>109</c:v>
                </c:pt>
                <c:pt idx="36">
                  <c:v>103</c:v>
                </c:pt>
                <c:pt idx="37">
                  <c:v>99</c:v>
                </c:pt>
                <c:pt idx="38">
                  <c:v>109</c:v>
                </c:pt>
                <c:pt idx="39">
                  <c:v>105</c:v>
                </c:pt>
                <c:pt idx="40">
                  <c:v>100</c:v>
                </c:pt>
                <c:pt idx="41">
                  <c:v>111</c:v>
                </c:pt>
                <c:pt idx="42">
                  <c:v>106</c:v>
                </c:pt>
                <c:pt idx="43">
                  <c:v>101</c:v>
                </c:pt>
                <c:pt idx="44">
                  <c:v>112</c:v>
                </c:pt>
                <c:pt idx="45">
                  <c:v>106</c:v>
                </c:pt>
                <c:pt idx="46">
                  <c:v>100</c:v>
                </c:pt>
                <c:pt idx="47">
                  <c:v>113</c:v>
                </c:pt>
                <c:pt idx="48">
                  <c:v>107</c:v>
                </c:pt>
                <c:pt idx="49">
                  <c:v>103</c:v>
                </c:pt>
                <c:pt idx="50">
                  <c:v>113</c:v>
                </c:pt>
                <c:pt idx="51">
                  <c:v>107</c:v>
                </c:pt>
                <c:pt idx="52">
                  <c:v>102</c:v>
                </c:pt>
                <c:pt idx="53">
                  <c:v>113</c:v>
                </c:pt>
                <c:pt idx="54">
                  <c:v>109</c:v>
                </c:pt>
                <c:pt idx="55">
                  <c:v>102</c:v>
                </c:pt>
                <c:pt idx="56">
                  <c:v>113</c:v>
                </c:pt>
                <c:pt idx="57">
                  <c:v>109</c:v>
                </c:pt>
                <c:pt idx="58">
                  <c:v>103</c:v>
                </c:pt>
                <c:pt idx="59">
                  <c:v>115</c:v>
                </c:pt>
                <c:pt idx="60">
                  <c:v>109</c:v>
                </c:pt>
                <c:pt idx="61">
                  <c:v>103</c:v>
                </c:pt>
                <c:pt idx="62">
                  <c:v>115</c:v>
                </c:pt>
                <c:pt idx="63">
                  <c:v>109</c:v>
                </c:pt>
                <c:pt idx="64">
                  <c:v>106</c:v>
                </c:pt>
                <c:pt idx="65">
                  <c:v>116</c:v>
                </c:pt>
                <c:pt idx="66">
                  <c:v>112</c:v>
                </c:pt>
                <c:pt idx="67">
                  <c:v>107</c:v>
                </c:pt>
                <c:pt idx="68">
                  <c:v>118</c:v>
                </c:pt>
                <c:pt idx="69">
                  <c:v>114</c:v>
                </c:pt>
                <c:pt idx="70">
                  <c:v>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D5-48D2-B019-A853E3CDA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195104"/>
        <c:axId val="1953195520"/>
      </c:scatterChart>
      <c:valAx>
        <c:axId val="1953195104"/>
        <c:scaling>
          <c:orientation val="minMax"/>
          <c:max val="125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3195520"/>
        <c:crosses val="autoZero"/>
        <c:crossBetween val="midCat"/>
      </c:valAx>
      <c:valAx>
        <c:axId val="19531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319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'140-1435'!$D$6</c:f>
              <c:strCache>
                <c:ptCount val="1"/>
                <c:pt idx="0">
                  <c:v>Vout teorico
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'140-1435'!$D$7:$D$77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5-4BBE-9F78-44A0BA6177A8}"/>
            </c:ext>
          </c:extLst>
        </c:ser>
        <c:ser>
          <c:idx val="1"/>
          <c:order val="1"/>
          <c:tx>
            <c:strRef>
              <c:f>'140-1435'!$E$6</c:f>
              <c:strCache>
                <c:ptCount val="1"/>
                <c:pt idx="0">
                  <c:v>Vout medido
(mV)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'140-1435'!$E$7:$E$77</c:f>
              <c:numCache>
                <c:formatCode>General</c:formatCode>
                <c:ptCount val="71"/>
                <c:pt idx="0">
                  <c:v>5016</c:v>
                </c:pt>
                <c:pt idx="1">
                  <c:v>5109</c:v>
                </c:pt>
                <c:pt idx="2">
                  <c:v>5204</c:v>
                </c:pt>
                <c:pt idx="3">
                  <c:v>5300</c:v>
                </c:pt>
                <c:pt idx="4">
                  <c:v>5409</c:v>
                </c:pt>
                <c:pt idx="5">
                  <c:v>5503</c:v>
                </c:pt>
                <c:pt idx="6">
                  <c:v>5598</c:v>
                </c:pt>
                <c:pt idx="7">
                  <c:v>5710</c:v>
                </c:pt>
                <c:pt idx="8">
                  <c:v>5804</c:v>
                </c:pt>
                <c:pt idx="9">
                  <c:v>5899</c:v>
                </c:pt>
                <c:pt idx="10">
                  <c:v>6010</c:v>
                </c:pt>
                <c:pt idx="11">
                  <c:v>6104</c:v>
                </c:pt>
                <c:pt idx="12">
                  <c:v>6200</c:v>
                </c:pt>
                <c:pt idx="13">
                  <c:v>6310</c:v>
                </c:pt>
                <c:pt idx="14">
                  <c:v>6404</c:v>
                </c:pt>
                <c:pt idx="15">
                  <c:v>6500</c:v>
                </c:pt>
                <c:pt idx="16">
                  <c:v>6609</c:v>
                </c:pt>
                <c:pt idx="17">
                  <c:v>6704</c:v>
                </c:pt>
                <c:pt idx="18">
                  <c:v>6799</c:v>
                </c:pt>
                <c:pt idx="19">
                  <c:v>6893</c:v>
                </c:pt>
                <c:pt idx="20">
                  <c:v>7005</c:v>
                </c:pt>
                <c:pt idx="21">
                  <c:v>7101</c:v>
                </c:pt>
                <c:pt idx="22">
                  <c:v>7198</c:v>
                </c:pt>
                <c:pt idx="23">
                  <c:v>7308</c:v>
                </c:pt>
                <c:pt idx="24">
                  <c:v>7403</c:v>
                </c:pt>
                <c:pt idx="25">
                  <c:v>7499</c:v>
                </c:pt>
                <c:pt idx="26">
                  <c:v>7608</c:v>
                </c:pt>
                <c:pt idx="27">
                  <c:v>7704</c:v>
                </c:pt>
                <c:pt idx="28">
                  <c:v>7799</c:v>
                </c:pt>
                <c:pt idx="29">
                  <c:v>7909</c:v>
                </c:pt>
                <c:pt idx="30">
                  <c:v>8005</c:v>
                </c:pt>
                <c:pt idx="31">
                  <c:v>8099</c:v>
                </c:pt>
                <c:pt idx="32">
                  <c:v>8211</c:v>
                </c:pt>
                <c:pt idx="33">
                  <c:v>8306</c:v>
                </c:pt>
                <c:pt idx="34">
                  <c:v>8401</c:v>
                </c:pt>
                <c:pt idx="35">
                  <c:v>8514</c:v>
                </c:pt>
                <c:pt idx="36">
                  <c:v>8608</c:v>
                </c:pt>
                <c:pt idx="37">
                  <c:v>8703</c:v>
                </c:pt>
                <c:pt idx="38">
                  <c:v>8799</c:v>
                </c:pt>
                <c:pt idx="39">
                  <c:v>8909</c:v>
                </c:pt>
                <c:pt idx="40">
                  <c:v>9006</c:v>
                </c:pt>
                <c:pt idx="41">
                  <c:v>9100</c:v>
                </c:pt>
                <c:pt idx="42">
                  <c:v>9211</c:v>
                </c:pt>
                <c:pt idx="43">
                  <c:v>9305</c:v>
                </c:pt>
                <c:pt idx="44">
                  <c:v>9400</c:v>
                </c:pt>
                <c:pt idx="45">
                  <c:v>9511</c:v>
                </c:pt>
                <c:pt idx="46">
                  <c:v>9605</c:v>
                </c:pt>
                <c:pt idx="47">
                  <c:v>9701</c:v>
                </c:pt>
                <c:pt idx="48">
                  <c:v>9812</c:v>
                </c:pt>
                <c:pt idx="49">
                  <c:v>9907</c:v>
                </c:pt>
                <c:pt idx="50">
                  <c:v>10002</c:v>
                </c:pt>
                <c:pt idx="51">
                  <c:v>10112</c:v>
                </c:pt>
                <c:pt idx="52">
                  <c:v>10206</c:v>
                </c:pt>
                <c:pt idx="53">
                  <c:v>10301</c:v>
                </c:pt>
                <c:pt idx="54">
                  <c:v>10396</c:v>
                </c:pt>
                <c:pt idx="55">
                  <c:v>10507</c:v>
                </c:pt>
                <c:pt idx="56">
                  <c:v>10602</c:v>
                </c:pt>
                <c:pt idx="57">
                  <c:v>10697</c:v>
                </c:pt>
                <c:pt idx="58">
                  <c:v>10808</c:v>
                </c:pt>
                <c:pt idx="59">
                  <c:v>10903</c:v>
                </c:pt>
                <c:pt idx="60">
                  <c:v>10999</c:v>
                </c:pt>
                <c:pt idx="61">
                  <c:v>11109</c:v>
                </c:pt>
                <c:pt idx="62">
                  <c:v>11203</c:v>
                </c:pt>
                <c:pt idx="63">
                  <c:v>11299</c:v>
                </c:pt>
                <c:pt idx="64">
                  <c:v>11409</c:v>
                </c:pt>
                <c:pt idx="65">
                  <c:v>11506</c:v>
                </c:pt>
                <c:pt idx="66">
                  <c:v>11601</c:v>
                </c:pt>
                <c:pt idx="67">
                  <c:v>11712</c:v>
                </c:pt>
                <c:pt idx="68">
                  <c:v>11808</c:v>
                </c:pt>
                <c:pt idx="69">
                  <c:v>11902</c:v>
                </c:pt>
                <c:pt idx="70">
                  <c:v>12013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5-4BBE-9F78-44A0BA617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085360"/>
        <c:axId val="1693088272"/>
      </c:lineChart>
      <c:catAx>
        <c:axId val="169308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8272"/>
        <c:crosses val="autoZero"/>
        <c:auto val="1"/>
        <c:lblAlgn val="ctr"/>
        <c:lblOffset val="100"/>
        <c:noMultiLvlLbl val="0"/>
      </c:catAx>
      <c:valAx>
        <c:axId val="1693088272"/>
        <c:scaling>
          <c:orientation val="minMax"/>
          <c:max val="13000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'140-1435'!$F$6</c:f>
              <c:strCache>
                <c:ptCount val="1"/>
                <c:pt idx="0">
                  <c:v>Error(mV)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'140-1435'!$D$7:$D$77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xVal>
          <c:yVal>
            <c:numRef>
              <c:f>'140-1435'!$F$7:$F$77</c:f>
              <c:numCache>
                <c:formatCode>General</c:formatCode>
                <c:ptCount val="71"/>
                <c:pt idx="0">
                  <c:v>16</c:v>
                </c:pt>
                <c:pt idx="1">
                  <c:v>9</c:v>
                </c:pt>
                <c:pt idx="2">
                  <c:v>4</c:v>
                </c:pt>
                <c:pt idx="3">
                  <c:v>0</c:v>
                </c:pt>
                <c:pt idx="4">
                  <c:v>9</c:v>
                </c:pt>
                <c:pt idx="5">
                  <c:v>3</c:v>
                </c:pt>
                <c:pt idx="6">
                  <c:v>-2</c:v>
                </c:pt>
                <c:pt idx="7">
                  <c:v>10</c:v>
                </c:pt>
                <c:pt idx="8">
                  <c:v>4</c:v>
                </c:pt>
                <c:pt idx="9">
                  <c:v>-1</c:v>
                </c:pt>
                <c:pt idx="10">
                  <c:v>10</c:v>
                </c:pt>
                <c:pt idx="11">
                  <c:v>4</c:v>
                </c:pt>
                <c:pt idx="12">
                  <c:v>0</c:v>
                </c:pt>
                <c:pt idx="13">
                  <c:v>10</c:v>
                </c:pt>
                <c:pt idx="14">
                  <c:v>4</c:v>
                </c:pt>
                <c:pt idx="15">
                  <c:v>0</c:v>
                </c:pt>
                <c:pt idx="16">
                  <c:v>9</c:v>
                </c:pt>
                <c:pt idx="17">
                  <c:v>4</c:v>
                </c:pt>
                <c:pt idx="18">
                  <c:v>-1</c:v>
                </c:pt>
                <c:pt idx="19">
                  <c:v>-7</c:v>
                </c:pt>
                <c:pt idx="20">
                  <c:v>5</c:v>
                </c:pt>
                <c:pt idx="21">
                  <c:v>1</c:v>
                </c:pt>
                <c:pt idx="22">
                  <c:v>-2</c:v>
                </c:pt>
                <c:pt idx="23">
                  <c:v>8</c:v>
                </c:pt>
                <c:pt idx="24">
                  <c:v>3</c:v>
                </c:pt>
                <c:pt idx="25">
                  <c:v>-1</c:v>
                </c:pt>
                <c:pt idx="26">
                  <c:v>8</c:v>
                </c:pt>
                <c:pt idx="27">
                  <c:v>4</c:v>
                </c:pt>
                <c:pt idx="28">
                  <c:v>-1</c:v>
                </c:pt>
                <c:pt idx="29">
                  <c:v>9</c:v>
                </c:pt>
                <c:pt idx="30">
                  <c:v>5</c:v>
                </c:pt>
                <c:pt idx="31">
                  <c:v>-1</c:v>
                </c:pt>
                <c:pt idx="32">
                  <c:v>11</c:v>
                </c:pt>
                <c:pt idx="33">
                  <c:v>6</c:v>
                </c:pt>
                <c:pt idx="34">
                  <c:v>1</c:v>
                </c:pt>
                <c:pt idx="35">
                  <c:v>14</c:v>
                </c:pt>
                <c:pt idx="36">
                  <c:v>8</c:v>
                </c:pt>
                <c:pt idx="37">
                  <c:v>3</c:v>
                </c:pt>
                <c:pt idx="38">
                  <c:v>-1</c:v>
                </c:pt>
                <c:pt idx="39">
                  <c:v>9</c:v>
                </c:pt>
                <c:pt idx="40">
                  <c:v>6</c:v>
                </c:pt>
                <c:pt idx="41">
                  <c:v>0</c:v>
                </c:pt>
                <c:pt idx="42">
                  <c:v>11</c:v>
                </c:pt>
                <c:pt idx="43">
                  <c:v>5</c:v>
                </c:pt>
                <c:pt idx="44">
                  <c:v>0</c:v>
                </c:pt>
                <c:pt idx="45">
                  <c:v>11</c:v>
                </c:pt>
                <c:pt idx="46">
                  <c:v>5</c:v>
                </c:pt>
                <c:pt idx="47">
                  <c:v>1</c:v>
                </c:pt>
                <c:pt idx="48">
                  <c:v>12</c:v>
                </c:pt>
                <c:pt idx="49">
                  <c:v>7</c:v>
                </c:pt>
                <c:pt idx="50">
                  <c:v>2</c:v>
                </c:pt>
                <c:pt idx="51">
                  <c:v>12</c:v>
                </c:pt>
                <c:pt idx="52">
                  <c:v>6</c:v>
                </c:pt>
                <c:pt idx="53">
                  <c:v>1</c:v>
                </c:pt>
                <c:pt idx="54">
                  <c:v>-4</c:v>
                </c:pt>
                <c:pt idx="55">
                  <c:v>7</c:v>
                </c:pt>
                <c:pt idx="56">
                  <c:v>2</c:v>
                </c:pt>
                <c:pt idx="57">
                  <c:v>-3</c:v>
                </c:pt>
                <c:pt idx="58">
                  <c:v>8</c:v>
                </c:pt>
                <c:pt idx="59">
                  <c:v>3</c:v>
                </c:pt>
                <c:pt idx="60">
                  <c:v>-1</c:v>
                </c:pt>
                <c:pt idx="61">
                  <c:v>9</c:v>
                </c:pt>
                <c:pt idx="62">
                  <c:v>3</c:v>
                </c:pt>
                <c:pt idx="63">
                  <c:v>-1</c:v>
                </c:pt>
                <c:pt idx="64">
                  <c:v>9</c:v>
                </c:pt>
                <c:pt idx="65">
                  <c:v>6</c:v>
                </c:pt>
                <c:pt idx="66">
                  <c:v>1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6-42FE-87DC-ADF130534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99648"/>
        <c:axId val="1959900064"/>
      </c:scatterChart>
      <c:valAx>
        <c:axId val="1959899648"/>
        <c:scaling>
          <c:orientation val="minMax"/>
          <c:max val="12000"/>
          <c:min val="5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00064"/>
        <c:crosses val="autoZero"/>
        <c:crossBetween val="midCat"/>
      </c:valAx>
      <c:valAx>
        <c:axId val="19599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89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'140-1435'!$G$6</c:f>
              <c:strCache>
                <c:ptCount val="1"/>
                <c:pt idx="0">
                  <c:v>Err(q)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'140-1435'!$D$7:$D$77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cat>
          <c:val>
            <c:numRef>
              <c:f>'140-1435'!$G$7:$G$77</c:f>
              <c:numCache>
                <c:formatCode>0.0</c:formatCode>
                <c:ptCount val="71"/>
                <c:pt idx="0">
                  <c:v>5.5</c:v>
                </c:pt>
                <c:pt idx="1">
                  <c:v>3.1</c:v>
                </c:pt>
                <c:pt idx="2">
                  <c:v>1.4</c:v>
                </c:pt>
                <c:pt idx="3">
                  <c:v>0</c:v>
                </c:pt>
                <c:pt idx="4">
                  <c:v>3.1</c:v>
                </c:pt>
                <c:pt idx="5">
                  <c:v>1</c:v>
                </c:pt>
                <c:pt idx="6">
                  <c:v>-0.7</c:v>
                </c:pt>
                <c:pt idx="7">
                  <c:v>3.4</c:v>
                </c:pt>
                <c:pt idx="8">
                  <c:v>1.4</c:v>
                </c:pt>
                <c:pt idx="9">
                  <c:v>-0.3</c:v>
                </c:pt>
                <c:pt idx="10">
                  <c:v>3.4</c:v>
                </c:pt>
                <c:pt idx="11">
                  <c:v>1.4</c:v>
                </c:pt>
                <c:pt idx="12">
                  <c:v>0</c:v>
                </c:pt>
                <c:pt idx="13">
                  <c:v>3.4</c:v>
                </c:pt>
                <c:pt idx="14">
                  <c:v>1.4</c:v>
                </c:pt>
                <c:pt idx="15">
                  <c:v>0</c:v>
                </c:pt>
                <c:pt idx="16">
                  <c:v>3.1</c:v>
                </c:pt>
                <c:pt idx="17">
                  <c:v>1.4</c:v>
                </c:pt>
                <c:pt idx="18">
                  <c:v>-0.3</c:v>
                </c:pt>
                <c:pt idx="19">
                  <c:v>-2.4</c:v>
                </c:pt>
                <c:pt idx="20">
                  <c:v>1.7</c:v>
                </c:pt>
                <c:pt idx="21">
                  <c:v>0.3</c:v>
                </c:pt>
                <c:pt idx="22">
                  <c:v>-0.7</c:v>
                </c:pt>
                <c:pt idx="23">
                  <c:v>2.7</c:v>
                </c:pt>
                <c:pt idx="24">
                  <c:v>1</c:v>
                </c:pt>
                <c:pt idx="25">
                  <c:v>-0.3</c:v>
                </c:pt>
                <c:pt idx="26">
                  <c:v>2.7</c:v>
                </c:pt>
                <c:pt idx="27">
                  <c:v>1.4</c:v>
                </c:pt>
                <c:pt idx="28">
                  <c:v>-0.3</c:v>
                </c:pt>
                <c:pt idx="29">
                  <c:v>3.1</c:v>
                </c:pt>
                <c:pt idx="30">
                  <c:v>1.7</c:v>
                </c:pt>
                <c:pt idx="31">
                  <c:v>-0.3</c:v>
                </c:pt>
                <c:pt idx="32">
                  <c:v>3.8</c:v>
                </c:pt>
                <c:pt idx="33">
                  <c:v>2</c:v>
                </c:pt>
                <c:pt idx="34">
                  <c:v>0.3</c:v>
                </c:pt>
                <c:pt idx="35">
                  <c:v>4.8</c:v>
                </c:pt>
                <c:pt idx="36">
                  <c:v>2.7</c:v>
                </c:pt>
                <c:pt idx="37">
                  <c:v>1</c:v>
                </c:pt>
                <c:pt idx="38">
                  <c:v>-0.3</c:v>
                </c:pt>
                <c:pt idx="39">
                  <c:v>3.1</c:v>
                </c:pt>
                <c:pt idx="40">
                  <c:v>2</c:v>
                </c:pt>
                <c:pt idx="41">
                  <c:v>0</c:v>
                </c:pt>
                <c:pt idx="42">
                  <c:v>3.8</c:v>
                </c:pt>
                <c:pt idx="43">
                  <c:v>1.7</c:v>
                </c:pt>
                <c:pt idx="44">
                  <c:v>0</c:v>
                </c:pt>
                <c:pt idx="45">
                  <c:v>3.8</c:v>
                </c:pt>
                <c:pt idx="46">
                  <c:v>1.7</c:v>
                </c:pt>
                <c:pt idx="47">
                  <c:v>0.3</c:v>
                </c:pt>
                <c:pt idx="48">
                  <c:v>4.0999999999999996</c:v>
                </c:pt>
                <c:pt idx="49">
                  <c:v>2.4</c:v>
                </c:pt>
                <c:pt idx="50">
                  <c:v>0.7</c:v>
                </c:pt>
                <c:pt idx="51">
                  <c:v>4.0999999999999996</c:v>
                </c:pt>
                <c:pt idx="52">
                  <c:v>2</c:v>
                </c:pt>
                <c:pt idx="53">
                  <c:v>0.3</c:v>
                </c:pt>
                <c:pt idx="54">
                  <c:v>-1.4</c:v>
                </c:pt>
                <c:pt idx="55">
                  <c:v>2.4</c:v>
                </c:pt>
                <c:pt idx="56">
                  <c:v>0.7</c:v>
                </c:pt>
                <c:pt idx="57">
                  <c:v>-1</c:v>
                </c:pt>
                <c:pt idx="58">
                  <c:v>2.7</c:v>
                </c:pt>
                <c:pt idx="59">
                  <c:v>1</c:v>
                </c:pt>
                <c:pt idx="60">
                  <c:v>-0.3</c:v>
                </c:pt>
                <c:pt idx="61">
                  <c:v>3.1</c:v>
                </c:pt>
                <c:pt idx="62">
                  <c:v>1</c:v>
                </c:pt>
                <c:pt idx="63">
                  <c:v>-0.3</c:v>
                </c:pt>
                <c:pt idx="64">
                  <c:v>3.1</c:v>
                </c:pt>
                <c:pt idx="65">
                  <c:v>2</c:v>
                </c:pt>
                <c:pt idx="66">
                  <c:v>0.3</c:v>
                </c:pt>
                <c:pt idx="67">
                  <c:v>4.0999999999999996</c:v>
                </c:pt>
                <c:pt idx="68">
                  <c:v>2.7</c:v>
                </c:pt>
                <c:pt idx="69">
                  <c:v>0.7</c:v>
                </c:pt>
                <c:pt idx="70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F-4E3F-95D4-7ADFD1C1E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12608"/>
        <c:axId val="1955616352"/>
      </c:lineChart>
      <c:catAx>
        <c:axId val="19556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6352"/>
        <c:crosses val="autoZero"/>
        <c:auto val="1"/>
        <c:lblAlgn val="ctr"/>
        <c:lblOffset val="100"/>
        <c:noMultiLvlLbl val="0"/>
      </c:catAx>
      <c:valAx>
        <c:axId val="19556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'Tarjeta verificacion'!$D$6</c:f>
              <c:strCache>
                <c:ptCount val="1"/>
                <c:pt idx="0">
                  <c:v>Vout teorico
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'Tarjeta verificacion'!$D$7:$D$77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7-423F-88C9-97172C9255A3}"/>
            </c:ext>
          </c:extLst>
        </c:ser>
        <c:ser>
          <c:idx val="1"/>
          <c:order val="1"/>
          <c:tx>
            <c:strRef>
              <c:f>'Tarjeta verificacion'!$E$6</c:f>
              <c:strCache>
                <c:ptCount val="1"/>
                <c:pt idx="0">
                  <c:v>Vout medido
(mV)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'Tarjeta verificacion'!$E$7:$E$77</c:f>
              <c:numCache>
                <c:formatCode>General</c:formatCode>
                <c:ptCount val="71"/>
                <c:pt idx="0">
                  <c:v>5016</c:v>
                </c:pt>
                <c:pt idx="1">
                  <c:v>5109</c:v>
                </c:pt>
                <c:pt idx="2">
                  <c:v>5204</c:v>
                </c:pt>
                <c:pt idx="3">
                  <c:v>5300</c:v>
                </c:pt>
                <c:pt idx="4">
                  <c:v>5409</c:v>
                </c:pt>
                <c:pt idx="5">
                  <c:v>5503</c:v>
                </c:pt>
                <c:pt idx="6">
                  <c:v>5598</c:v>
                </c:pt>
                <c:pt idx="7">
                  <c:v>5710</c:v>
                </c:pt>
                <c:pt idx="8">
                  <c:v>5804</c:v>
                </c:pt>
                <c:pt idx="9">
                  <c:v>5899</c:v>
                </c:pt>
                <c:pt idx="10">
                  <c:v>6010</c:v>
                </c:pt>
                <c:pt idx="11">
                  <c:v>6104</c:v>
                </c:pt>
                <c:pt idx="12">
                  <c:v>6200</c:v>
                </c:pt>
                <c:pt idx="13">
                  <c:v>6310</c:v>
                </c:pt>
                <c:pt idx="14">
                  <c:v>6404</c:v>
                </c:pt>
                <c:pt idx="15">
                  <c:v>6500</c:v>
                </c:pt>
                <c:pt idx="16">
                  <c:v>6609</c:v>
                </c:pt>
                <c:pt idx="17">
                  <c:v>6704</c:v>
                </c:pt>
                <c:pt idx="18">
                  <c:v>6799</c:v>
                </c:pt>
                <c:pt idx="19">
                  <c:v>6893</c:v>
                </c:pt>
                <c:pt idx="20">
                  <c:v>7005</c:v>
                </c:pt>
                <c:pt idx="21">
                  <c:v>7101</c:v>
                </c:pt>
                <c:pt idx="22">
                  <c:v>7198</c:v>
                </c:pt>
                <c:pt idx="23">
                  <c:v>7308</c:v>
                </c:pt>
                <c:pt idx="24">
                  <c:v>7403</c:v>
                </c:pt>
                <c:pt idx="25">
                  <c:v>7499</c:v>
                </c:pt>
                <c:pt idx="26">
                  <c:v>7608</c:v>
                </c:pt>
                <c:pt idx="27">
                  <c:v>7704</c:v>
                </c:pt>
                <c:pt idx="28">
                  <c:v>7799</c:v>
                </c:pt>
                <c:pt idx="29">
                  <c:v>7909</c:v>
                </c:pt>
                <c:pt idx="30">
                  <c:v>8005</c:v>
                </c:pt>
                <c:pt idx="31">
                  <c:v>8099</c:v>
                </c:pt>
                <c:pt idx="32">
                  <c:v>8211</c:v>
                </c:pt>
                <c:pt idx="33">
                  <c:v>8306</c:v>
                </c:pt>
                <c:pt idx="34">
                  <c:v>8401</c:v>
                </c:pt>
                <c:pt idx="35">
                  <c:v>8514</c:v>
                </c:pt>
                <c:pt idx="36">
                  <c:v>8608</c:v>
                </c:pt>
                <c:pt idx="37">
                  <c:v>8703</c:v>
                </c:pt>
                <c:pt idx="38">
                  <c:v>8799</c:v>
                </c:pt>
                <c:pt idx="39">
                  <c:v>8909</c:v>
                </c:pt>
                <c:pt idx="40">
                  <c:v>9006</c:v>
                </c:pt>
                <c:pt idx="41">
                  <c:v>9100</c:v>
                </c:pt>
                <c:pt idx="42">
                  <c:v>9211</c:v>
                </c:pt>
                <c:pt idx="43">
                  <c:v>9305</c:v>
                </c:pt>
                <c:pt idx="44">
                  <c:v>9400</c:v>
                </c:pt>
                <c:pt idx="45">
                  <c:v>9511</c:v>
                </c:pt>
                <c:pt idx="46">
                  <c:v>9605</c:v>
                </c:pt>
                <c:pt idx="47">
                  <c:v>9701</c:v>
                </c:pt>
                <c:pt idx="48">
                  <c:v>9812</c:v>
                </c:pt>
                <c:pt idx="49">
                  <c:v>9907</c:v>
                </c:pt>
                <c:pt idx="50">
                  <c:v>10002</c:v>
                </c:pt>
                <c:pt idx="51">
                  <c:v>10112</c:v>
                </c:pt>
                <c:pt idx="52">
                  <c:v>10206</c:v>
                </c:pt>
                <c:pt idx="53">
                  <c:v>10301</c:v>
                </c:pt>
                <c:pt idx="54">
                  <c:v>10396</c:v>
                </c:pt>
                <c:pt idx="55">
                  <c:v>10507</c:v>
                </c:pt>
                <c:pt idx="56">
                  <c:v>10602</c:v>
                </c:pt>
                <c:pt idx="57">
                  <c:v>10697</c:v>
                </c:pt>
                <c:pt idx="58">
                  <c:v>10808</c:v>
                </c:pt>
                <c:pt idx="59">
                  <c:v>10903</c:v>
                </c:pt>
                <c:pt idx="60">
                  <c:v>10999</c:v>
                </c:pt>
                <c:pt idx="61">
                  <c:v>11109</c:v>
                </c:pt>
                <c:pt idx="62">
                  <c:v>11203</c:v>
                </c:pt>
                <c:pt idx="63">
                  <c:v>11299</c:v>
                </c:pt>
                <c:pt idx="64">
                  <c:v>11409</c:v>
                </c:pt>
                <c:pt idx="65">
                  <c:v>11506</c:v>
                </c:pt>
                <c:pt idx="66">
                  <c:v>11601</c:v>
                </c:pt>
                <c:pt idx="67">
                  <c:v>11712</c:v>
                </c:pt>
                <c:pt idx="68">
                  <c:v>11808</c:v>
                </c:pt>
                <c:pt idx="69">
                  <c:v>11902</c:v>
                </c:pt>
                <c:pt idx="70">
                  <c:v>12013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07-423F-88C9-97172C925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085360"/>
        <c:axId val="1693088272"/>
      </c:lineChart>
      <c:catAx>
        <c:axId val="169308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8272"/>
        <c:crosses val="autoZero"/>
        <c:auto val="1"/>
        <c:lblAlgn val="ctr"/>
        <c:lblOffset val="100"/>
        <c:noMultiLvlLbl val="0"/>
      </c:catAx>
      <c:valAx>
        <c:axId val="1693088272"/>
        <c:scaling>
          <c:orientation val="minMax"/>
          <c:max val="13000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'Tarjeta verificacion'!$F$6</c:f>
              <c:strCache>
                <c:ptCount val="1"/>
                <c:pt idx="0">
                  <c:v>Error(mV)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'Tarjeta verificacion'!$D$7:$D$77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xVal>
          <c:yVal>
            <c:numRef>
              <c:f>'Tarjeta verificacion'!$F$7:$F$77</c:f>
              <c:numCache>
                <c:formatCode>General</c:formatCode>
                <c:ptCount val="71"/>
                <c:pt idx="0">
                  <c:v>16</c:v>
                </c:pt>
                <c:pt idx="1">
                  <c:v>9</c:v>
                </c:pt>
                <c:pt idx="2">
                  <c:v>4</c:v>
                </c:pt>
                <c:pt idx="3">
                  <c:v>0</c:v>
                </c:pt>
                <c:pt idx="4">
                  <c:v>9</c:v>
                </c:pt>
                <c:pt idx="5">
                  <c:v>3</c:v>
                </c:pt>
                <c:pt idx="6">
                  <c:v>-2</c:v>
                </c:pt>
                <c:pt idx="7">
                  <c:v>10</c:v>
                </c:pt>
                <c:pt idx="8">
                  <c:v>4</c:v>
                </c:pt>
                <c:pt idx="9">
                  <c:v>-1</c:v>
                </c:pt>
                <c:pt idx="10">
                  <c:v>10</c:v>
                </c:pt>
                <c:pt idx="11">
                  <c:v>4</c:v>
                </c:pt>
                <c:pt idx="12">
                  <c:v>0</c:v>
                </c:pt>
                <c:pt idx="13">
                  <c:v>10</c:v>
                </c:pt>
                <c:pt idx="14">
                  <c:v>4</c:v>
                </c:pt>
                <c:pt idx="15">
                  <c:v>0</c:v>
                </c:pt>
                <c:pt idx="16">
                  <c:v>9</c:v>
                </c:pt>
                <c:pt idx="17">
                  <c:v>4</c:v>
                </c:pt>
                <c:pt idx="18">
                  <c:v>-1</c:v>
                </c:pt>
                <c:pt idx="19">
                  <c:v>-7</c:v>
                </c:pt>
                <c:pt idx="20">
                  <c:v>5</c:v>
                </c:pt>
                <c:pt idx="21">
                  <c:v>1</c:v>
                </c:pt>
                <c:pt idx="22">
                  <c:v>-2</c:v>
                </c:pt>
                <c:pt idx="23">
                  <c:v>8</c:v>
                </c:pt>
                <c:pt idx="24">
                  <c:v>3</c:v>
                </c:pt>
                <c:pt idx="25">
                  <c:v>-1</c:v>
                </c:pt>
                <c:pt idx="26">
                  <c:v>8</c:v>
                </c:pt>
                <c:pt idx="27">
                  <c:v>4</c:v>
                </c:pt>
                <c:pt idx="28">
                  <c:v>-1</c:v>
                </c:pt>
                <c:pt idx="29">
                  <c:v>9</c:v>
                </c:pt>
                <c:pt idx="30">
                  <c:v>5</c:v>
                </c:pt>
                <c:pt idx="31">
                  <c:v>-1</c:v>
                </c:pt>
                <c:pt idx="32">
                  <c:v>11</c:v>
                </c:pt>
                <c:pt idx="33">
                  <c:v>6</c:v>
                </c:pt>
                <c:pt idx="34">
                  <c:v>1</c:v>
                </c:pt>
                <c:pt idx="35">
                  <c:v>14</c:v>
                </c:pt>
                <c:pt idx="36">
                  <c:v>8</c:v>
                </c:pt>
                <c:pt idx="37">
                  <c:v>3</c:v>
                </c:pt>
                <c:pt idx="38">
                  <c:v>-1</c:v>
                </c:pt>
                <c:pt idx="39">
                  <c:v>9</c:v>
                </c:pt>
                <c:pt idx="40">
                  <c:v>6</c:v>
                </c:pt>
                <c:pt idx="41">
                  <c:v>0</c:v>
                </c:pt>
                <c:pt idx="42">
                  <c:v>11</c:v>
                </c:pt>
                <c:pt idx="43">
                  <c:v>5</c:v>
                </c:pt>
                <c:pt idx="44">
                  <c:v>0</c:v>
                </c:pt>
                <c:pt idx="45">
                  <c:v>11</c:v>
                </c:pt>
                <c:pt idx="46">
                  <c:v>5</c:v>
                </c:pt>
                <c:pt idx="47">
                  <c:v>1</c:v>
                </c:pt>
                <c:pt idx="48">
                  <c:v>12</c:v>
                </c:pt>
                <c:pt idx="49">
                  <c:v>7</c:v>
                </c:pt>
                <c:pt idx="50">
                  <c:v>2</c:v>
                </c:pt>
                <c:pt idx="51">
                  <c:v>12</c:v>
                </c:pt>
                <c:pt idx="52">
                  <c:v>6</c:v>
                </c:pt>
                <c:pt idx="53">
                  <c:v>1</c:v>
                </c:pt>
                <c:pt idx="54">
                  <c:v>-4</c:v>
                </c:pt>
                <c:pt idx="55">
                  <c:v>7</c:v>
                </c:pt>
                <c:pt idx="56">
                  <c:v>2</c:v>
                </c:pt>
                <c:pt idx="57">
                  <c:v>-3</c:v>
                </c:pt>
                <c:pt idx="58">
                  <c:v>8</c:v>
                </c:pt>
                <c:pt idx="59">
                  <c:v>3</c:v>
                </c:pt>
                <c:pt idx="60">
                  <c:v>-1</c:v>
                </c:pt>
                <c:pt idx="61">
                  <c:v>9</c:v>
                </c:pt>
                <c:pt idx="62">
                  <c:v>3</c:v>
                </c:pt>
                <c:pt idx="63">
                  <c:v>-1</c:v>
                </c:pt>
                <c:pt idx="64">
                  <c:v>9</c:v>
                </c:pt>
                <c:pt idx="65">
                  <c:v>6</c:v>
                </c:pt>
                <c:pt idx="66">
                  <c:v>1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0-4797-9AD8-3FD4F77E8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99648"/>
        <c:axId val="1959900064"/>
      </c:scatterChart>
      <c:valAx>
        <c:axId val="1959899648"/>
        <c:scaling>
          <c:orientation val="minMax"/>
          <c:max val="12000"/>
          <c:min val="5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00064"/>
        <c:crosses val="autoZero"/>
        <c:crossBetween val="midCat"/>
      </c:valAx>
      <c:valAx>
        <c:axId val="19599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89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'Tarjeta verificacion'!$G$6</c:f>
              <c:strCache>
                <c:ptCount val="1"/>
                <c:pt idx="0">
                  <c:v>Err(q)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'Tarjeta verificacion'!$D$7:$D$77</c:f>
              <c:numCache>
                <c:formatCode>General</c:formatCode>
                <c:ptCount val="71"/>
                <c:pt idx="0">
                  <c:v>5000</c:v>
                </c:pt>
                <c:pt idx="1">
                  <c:v>5100</c:v>
                </c:pt>
                <c:pt idx="2">
                  <c:v>5200</c:v>
                </c:pt>
                <c:pt idx="3">
                  <c:v>5300</c:v>
                </c:pt>
                <c:pt idx="4">
                  <c:v>5400</c:v>
                </c:pt>
                <c:pt idx="5">
                  <c:v>5500</c:v>
                </c:pt>
                <c:pt idx="6">
                  <c:v>5600</c:v>
                </c:pt>
                <c:pt idx="7">
                  <c:v>5700</c:v>
                </c:pt>
                <c:pt idx="8">
                  <c:v>5800</c:v>
                </c:pt>
                <c:pt idx="9">
                  <c:v>5900</c:v>
                </c:pt>
                <c:pt idx="10">
                  <c:v>6000</c:v>
                </c:pt>
                <c:pt idx="11">
                  <c:v>6100</c:v>
                </c:pt>
                <c:pt idx="12">
                  <c:v>6200</c:v>
                </c:pt>
                <c:pt idx="13">
                  <c:v>6300</c:v>
                </c:pt>
                <c:pt idx="14">
                  <c:v>6400</c:v>
                </c:pt>
                <c:pt idx="15">
                  <c:v>6500</c:v>
                </c:pt>
                <c:pt idx="16">
                  <c:v>6600</c:v>
                </c:pt>
                <c:pt idx="17">
                  <c:v>6700</c:v>
                </c:pt>
                <c:pt idx="18">
                  <c:v>6800</c:v>
                </c:pt>
                <c:pt idx="19">
                  <c:v>6900</c:v>
                </c:pt>
                <c:pt idx="20">
                  <c:v>7000</c:v>
                </c:pt>
                <c:pt idx="21">
                  <c:v>7100</c:v>
                </c:pt>
                <c:pt idx="22">
                  <c:v>7200</c:v>
                </c:pt>
                <c:pt idx="23">
                  <c:v>7300</c:v>
                </c:pt>
                <c:pt idx="24">
                  <c:v>7400</c:v>
                </c:pt>
                <c:pt idx="25">
                  <c:v>7500</c:v>
                </c:pt>
                <c:pt idx="26">
                  <c:v>7600</c:v>
                </c:pt>
                <c:pt idx="27">
                  <c:v>7700</c:v>
                </c:pt>
                <c:pt idx="28">
                  <c:v>7800</c:v>
                </c:pt>
                <c:pt idx="29">
                  <c:v>7900</c:v>
                </c:pt>
                <c:pt idx="30">
                  <c:v>8000</c:v>
                </c:pt>
                <c:pt idx="31">
                  <c:v>8100</c:v>
                </c:pt>
                <c:pt idx="32">
                  <c:v>8200</c:v>
                </c:pt>
                <c:pt idx="33">
                  <c:v>8300</c:v>
                </c:pt>
                <c:pt idx="34">
                  <c:v>8400</c:v>
                </c:pt>
                <c:pt idx="35">
                  <c:v>8500</c:v>
                </c:pt>
                <c:pt idx="36">
                  <c:v>8600</c:v>
                </c:pt>
                <c:pt idx="37">
                  <c:v>8700</c:v>
                </c:pt>
                <c:pt idx="38">
                  <c:v>8800</c:v>
                </c:pt>
                <c:pt idx="39">
                  <c:v>8900</c:v>
                </c:pt>
                <c:pt idx="40">
                  <c:v>9000</c:v>
                </c:pt>
                <c:pt idx="41">
                  <c:v>9100</c:v>
                </c:pt>
                <c:pt idx="42">
                  <c:v>9200</c:v>
                </c:pt>
                <c:pt idx="43">
                  <c:v>9300</c:v>
                </c:pt>
                <c:pt idx="44">
                  <c:v>9400</c:v>
                </c:pt>
                <c:pt idx="45">
                  <c:v>9500</c:v>
                </c:pt>
                <c:pt idx="46">
                  <c:v>9600</c:v>
                </c:pt>
                <c:pt idx="47">
                  <c:v>9700</c:v>
                </c:pt>
                <c:pt idx="48">
                  <c:v>9800</c:v>
                </c:pt>
                <c:pt idx="49">
                  <c:v>9900</c:v>
                </c:pt>
                <c:pt idx="50">
                  <c:v>10000</c:v>
                </c:pt>
                <c:pt idx="51">
                  <c:v>10100</c:v>
                </c:pt>
                <c:pt idx="52">
                  <c:v>10200</c:v>
                </c:pt>
                <c:pt idx="53">
                  <c:v>10300</c:v>
                </c:pt>
                <c:pt idx="54">
                  <c:v>10400</c:v>
                </c:pt>
                <c:pt idx="55">
                  <c:v>10500</c:v>
                </c:pt>
                <c:pt idx="56">
                  <c:v>10600</c:v>
                </c:pt>
                <c:pt idx="57">
                  <c:v>10700</c:v>
                </c:pt>
                <c:pt idx="58">
                  <c:v>10800</c:v>
                </c:pt>
                <c:pt idx="59">
                  <c:v>10900</c:v>
                </c:pt>
                <c:pt idx="60">
                  <c:v>11000</c:v>
                </c:pt>
                <c:pt idx="61">
                  <c:v>11100</c:v>
                </c:pt>
                <c:pt idx="62">
                  <c:v>11200</c:v>
                </c:pt>
                <c:pt idx="63">
                  <c:v>11300</c:v>
                </c:pt>
                <c:pt idx="64">
                  <c:v>11400</c:v>
                </c:pt>
                <c:pt idx="65">
                  <c:v>11500</c:v>
                </c:pt>
                <c:pt idx="66">
                  <c:v>11600</c:v>
                </c:pt>
                <c:pt idx="67">
                  <c:v>11700</c:v>
                </c:pt>
                <c:pt idx="68">
                  <c:v>11800</c:v>
                </c:pt>
                <c:pt idx="69">
                  <c:v>11900</c:v>
                </c:pt>
                <c:pt idx="70">
                  <c:v>12000</c:v>
                </c:pt>
              </c:numCache>
            </c:numRef>
          </c:cat>
          <c:val>
            <c:numRef>
              <c:f>'Tarjeta verificacion'!$G$7:$G$77</c:f>
              <c:numCache>
                <c:formatCode>0.0</c:formatCode>
                <c:ptCount val="71"/>
                <c:pt idx="0">
                  <c:v>19.899999999999999</c:v>
                </c:pt>
                <c:pt idx="1">
                  <c:v>11.2</c:v>
                </c:pt>
                <c:pt idx="2">
                  <c:v>5</c:v>
                </c:pt>
                <c:pt idx="3">
                  <c:v>0</c:v>
                </c:pt>
                <c:pt idx="4">
                  <c:v>11.2</c:v>
                </c:pt>
                <c:pt idx="5">
                  <c:v>3.7</c:v>
                </c:pt>
                <c:pt idx="6">
                  <c:v>-2.5</c:v>
                </c:pt>
                <c:pt idx="7">
                  <c:v>12.4</c:v>
                </c:pt>
                <c:pt idx="8">
                  <c:v>5</c:v>
                </c:pt>
                <c:pt idx="9">
                  <c:v>-1.2</c:v>
                </c:pt>
                <c:pt idx="10">
                  <c:v>12.4</c:v>
                </c:pt>
                <c:pt idx="11">
                  <c:v>5</c:v>
                </c:pt>
                <c:pt idx="12">
                  <c:v>0</c:v>
                </c:pt>
                <c:pt idx="13">
                  <c:v>12.4</c:v>
                </c:pt>
                <c:pt idx="14">
                  <c:v>5</c:v>
                </c:pt>
                <c:pt idx="15">
                  <c:v>0</c:v>
                </c:pt>
                <c:pt idx="16">
                  <c:v>11.2</c:v>
                </c:pt>
                <c:pt idx="17">
                  <c:v>5</c:v>
                </c:pt>
                <c:pt idx="18">
                  <c:v>-1.2</c:v>
                </c:pt>
                <c:pt idx="19">
                  <c:v>-8.6999999999999993</c:v>
                </c:pt>
                <c:pt idx="20">
                  <c:v>6.2</c:v>
                </c:pt>
                <c:pt idx="21">
                  <c:v>1.2</c:v>
                </c:pt>
                <c:pt idx="22">
                  <c:v>-2.5</c:v>
                </c:pt>
                <c:pt idx="23">
                  <c:v>9.9</c:v>
                </c:pt>
                <c:pt idx="24">
                  <c:v>3.7</c:v>
                </c:pt>
                <c:pt idx="25">
                  <c:v>-1.2</c:v>
                </c:pt>
                <c:pt idx="26">
                  <c:v>9.9</c:v>
                </c:pt>
                <c:pt idx="27">
                  <c:v>5</c:v>
                </c:pt>
                <c:pt idx="28">
                  <c:v>-1.2</c:v>
                </c:pt>
                <c:pt idx="29">
                  <c:v>11.2</c:v>
                </c:pt>
                <c:pt idx="30">
                  <c:v>6.2</c:v>
                </c:pt>
                <c:pt idx="31">
                  <c:v>-1.2</c:v>
                </c:pt>
                <c:pt idx="32">
                  <c:v>13.7</c:v>
                </c:pt>
                <c:pt idx="33">
                  <c:v>7.4</c:v>
                </c:pt>
                <c:pt idx="34">
                  <c:v>1.2</c:v>
                </c:pt>
                <c:pt idx="35">
                  <c:v>17.399999999999999</c:v>
                </c:pt>
                <c:pt idx="36">
                  <c:v>9.9</c:v>
                </c:pt>
                <c:pt idx="37">
                  <c:v>3.7</c:v>
                </c:pt>
                <c:pt idx="38">
                  <c:v>-1.2</c:v>
                </c:pt>
                <c:pt idx="39">
                  <c:v>11.2</c:v>
                </c:pt>
                <c:pt idx="40">
                  <c:v>7.4</c:v>
                </c:pt>
                <c:pt idx="41">
                  <c:v>0</c:v>
                </c:pt>
                <c:pt idx="42">
                  <c:v>13.7</c:v>
                </c:pt>
                <c:pt idx="43">
                  <c:v>6.2</c:v>
                </c:pt>
                <c:pt idx="44">
                  <c:v>0</c:v>
                </c:pt>
                <c:pt idx="45">
                  <c:v>13.7</c:v>
                </c:pt>
                <c:pt idx="46">
                  <c:v>6.2</c:v>
                </c:pt>
                <c:pt idx="47">
                  <c:v>1.2</c:v>
                </c:pt>
                <c:pt idx="48">
                  <c:v>14.9</c:v>
                </c:pt>
                <c:pt idx="49">
                  <c:v>8.6999999999999993</c:v>
                </c:pt>
                <c:pt idx="50">
                  <c:v>2.5</c:v>
                </c:pt>
                <c:pt idx="51">
                  <c:v>14.9</c:v>
                </c:pt>
                <c:pt idx="52">
                  <c:v>7.4</c:v>
                </c:pt>
                <c:pt idx="53">
                  <c:v>1.2</c:v>
                </c:pt>
                <c:pt idx="54">
                  <c:v>-5</c:v>
                </c:pt>
                <c:pt idx="55">
                  <c:v>8.6999999999999993</c:v>
                </c:pt>
                <c:pt idx="56">
                  <c:v>2.5</c:v>
                </c:pt>
                <c:pt idx="57">
                  <c:v>-3.7</c:v>
                </c:pt>
                <c:pt idx="58">
                  <c:v>9.9</c:v>
                </c:pt>
                <c:pt idx="59">
                  <c:v>3.7</c:v>
                </c:pt>
                <c:pt idx="60">
                  <c:v>-1.2</c:v>
                </c:pt>
                <c:pt idx="61">
                  <c:v>11.2</c:v>
                </c:pt>
                <c:pt idx="62">
                  <c:v>3.7</c:v>
                </c:pt>
                <c:pt idx="63">
                  <c:v>-1.2</c:v>
                </c:pt>
                <c:pt idx="64">
                  <c:v>11.2</c:v>
                </c:pt>
                <c:pt idx="65">
                  <c:v>7.4</c:v>
                </c:pt>
                <c:pt idx="66">
                  <c:v>1.2</c:v>
                </c:pt>
                <c:pt idx="67">
                  <c:v>14.9</c:v>
                </c:pt>
                <c:pt idx="68">
                  <c:v>9.9</c:v>
                </c:pt>
                <c:pt idx="69">
                  <c:v>2.5</c:v>
                </c:pt>
                <c:pt idx="70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6-4212-AC70-B2F03BB5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12608"/>
        <c:axId val="1955616352"/>
      </c:lineChart>
      <c:catAx>
        <c:axId val="19556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6352"/>
        <c:crosses val="autoZero"/>
        <c:auto val="1"/>
        <c:lblAlgn val="ctr"/>
        <c:lblOffset val="100"/>
        <c:noMultiLvlLbl val="0"/>
      </c:catAx>
      <c:valAx>
        <c:axId val="19556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'140-1435 (2)'!$D$6</c:f>
              <c:strCache>
                <c:ptCount val="1"/>
                <c:pt idx="0">
                  <c:v>Vout teorico
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'140-1435 (2)'!$D$7:$D$77</c:f>
              <c:numCache>
                <c:formatCode>General</c:formatCode>
                <c:ptCount val="71"/>
                <c:pt idx="0">
                  <c:v>4500</c:v>
                </c:pt>
                <c:pt idx="1">
                  <c:v>4600</c:v>
                </c:pt>
                <c:pt idx="2">
                  <c:v>4700</c:v>
                </c:pt>
                <c:pt idx="3">
                  <c:v>4800</c:v>
                </c:pt>
                <c:pt idx="4">
                  <c:v>4900</c:v>
                </c:pt>
                <c:pt idx="5">
                  <c:v>5000</c:v>
                </c:pt>
                <c:pt idx="6">
                  <c:v>5100</c:v>
                </c:pt>
                <c:pt idx="7">
                  <c:v>5200</c:v>
                </c:pt>
                <c:pt idx="8">
                  <c:v>5300</c:v>
                </c:pt>
                <c:pt idx="9">
                  <c:v>5400</c:v>
                </c:pt>
                <c:pt idx="10">
                  <c:v>5500</c:v>
                </c:pt>
                <c:pt idx="11">
                  <c:v>5600</c:v>
                </c:pt>
                <c:pt idx="12">
                  <c:v>5700</c:v>
                </c:pt>
                <c:pt idx="13">
                  <c:v>5800</c:v>
                </c:pt>
                <c:pt idx="14">
                  <c:v>5900</c:v>
                </c:pt>
                <c:pt idx="15">
                  <c:v>6000</c:v>
                </c:pt>
                <c:pt idx="16">
                  <c:v>6100</c:v>
                </c:pt>
                <c:pt idx="17">
                  <c:v>6200</c:v>
                </c:pt>
                <c:pt idx="18">
                  <c:v>6300</c:v>
                </c:pt>
                <c:pt idx="19">
                  <c:v>6400</c:v>
                </c:pt>
                <c:pt idx="20">
                  <c:v>6500</c:v>
                </c:pt>
                <c:pt idx="21">
                  <c:v>6600</c:v>
                </c:pt>
                <c:pt idx="22">
                  <c:v>6700</c:v>
                </c:pt>
                <c:pt idx="23">
                  <c:v>6800</c:v>
                </c:pt>
                <c:pt idx="24">
                  <c:v>6900</c:v>
                </c:pt>
                <c:pt idx="25">
                  <c:v>7000</c:v>
                </c:pt>
                <c:pt idx="26">
                  <c:v>7100</c:v>
                </c:pt>
                <c:pt idx="27">
                  <c:v>7200</c:v>
                </c:pt>
                <c:pt idx="28">
                  <c:v>7300</c:v>
                </c:pt>
                <c:pt idx="29">
                  <c:v>7400</c:v>
                </c:pt>
                <c:pt idx="30">
                  <c:v>7500</c:v>
                </c:pt>
                <c:pt idx="31">
                  <c:v>7600</c:v>
                </c:pt>
                <c:pt idx="32">
                  <c:v>7700</c:v>
                </c:pt>
                <c:pt idx="33">
                  <c:v>7800</c:v>
                </c:pt>
                <c:pt idx="34">
                  <c:v>7900</c:v>
                </c:pt>
                <c:pt idx="35">
                  <c:v>8000</c:v>
                </c:pt>
                <c:pt idx="36">
                  <c:v>8100</c:v>
                </c:pt>
                <c:pt idx="37">
                  <c:v>8200</c:v>
                </c:pt>
                <c:pt idx="38">
                  <c:v>8300</c:v>
                </c:pt>
                <c:pt idx="39">
                  <c:v>8400</c:v>
                </c:pt>
                <c:pt idx="40">
                  <c:v>8500</c:v>
                </c:pt>
                <c:pt idx="41">
                  <c:v>8600</c:v>
                </c:pt>
                <c:pt idx="42">
                  <c:v>8700</c:v>
                </c:pt>
                <c:pt idx="43">
                  <c:v>8800</c:v>
                </c:pt>
                <c:pt idx="44">
                  <c:v>8900</c:v>
                </c:pt>
                <c:pt idx="45">
                  <c:v>9000</c:v>
                </c:pt>
                <c:pt idx="46">
                  <c:v>9100</c:v>
                </c:pt>
                <c:pt idx="47">
                  <c:v>9200</c:v>
                </c:pt>
                <c:pt idx="48">
                  <c:v>9300</c:v>
                </c:pt>
                <c:pt idx="49">
                  <c:v>9400</c:v>
                </c:pt>
                <c:pt idx="50">
                  <c:v>9500</c:v>
                </c:pt>
                <c:pt idx="51">
                  <c:v>9600</c:v>
                </c:pt>
                <c:pt idx="52">
                  <c:v>9700</c:v>
                </c:pt>
                <c:pt idx="53">
                  <c:v>9800</c:v>
                </c:pt>
                <c:pt idx="54">
                  <c:v>9900</c:v>
                </c:pt>
                <c:pt idx="55">
                  <c:v>10000</c:v>
                </c:pt>
                <c:pt idx="56">
                  <c:v>10100</c:v>
                </c:pt>
                <c:pt idx="57">
                  <c:v>10200</c:v>
                </c:pt>
                <c:pt idx="58">
                  <c:v>10300</c:v>
                </c:pt>
                <c:pt idx="59">
                  <c:v>10400</c:v>
                </c:pt>
                <c:pt idx="60">
                  <c:v>10500</c:v>
                </c:pt>
                <c:pt idx="61">
                  <c:v>10600</c:v>
                </c:pt>
                <c:pt idx="62">
                  <c:v>10700</c:v>
                </c:pt>
                <c:pt idx="63">
                  <c:v>10800</c:v>
                </c:pt>
                <c:pt idx="64">
                  <c:v>10900</c:v>
                </c:pt>
                <c:pt idx="65">
                  <c:v>11000</c:v>
                </c:pt>
                <c:pt idx="66">
                  <c:v>11100</c:v>
                </c:pt>
                <c:pt idx="67">
                  <c:v>11200</c:v>
                </c:pt>
                <c:pt idx="68">
                  <c:v>11300</c:v>
                </c:pt>
                <c:pt idx="69">
                  <c:v>11400</c:v>
                </c:pt>
                <c:pt idx="70">
                  <c:v>11500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E-4580-A7C5-8A64BD0427BF}"/>
            </c:ext>
          </c:extLst>
        </c:ser>
        <c:ser>
          <c:idx val="1"/>
          <c:order val="1"/>
          <c:tx>
            <c:strRef>
              <c:f>'140-1435 (2)'!$E$6</c:f>
              <c:strCache>
                <c:ptCount val="1"/>
                <c:pt idx="0">
                  <c:v>Vout medido
(mV)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'140-1435 (2)'!$E$7:$E$77</c:f>
              <c:numCache>
                <c:formatCode>General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CE-4580-A7C5-8A64BD042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085360"/>
        <c:axId val="1693088272"/>
      </c:lineChart>
      <c:catAx>
        <c:axId val="169308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8272"/>
        <c:crosses val="autoZero"/>
        <c:auto val="1"/>
        <c:lblAlgn val="ctr"/>
        <c:lblOffset val="100"/>
        <c:noMultiLvlLbl val="0"/>
      </c:catAx>
      <c:valAx>
        <c:axId val="1693088272"/>
        <c:scaling>
          <c:orientation val="minMax"/>
          <c:max val="13000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'140-1435 (2)'!$F$6</c:f>
              <c:strCache>
                <c:ptCount val="1"/>
                <c:pt idx="0">
                  <c:v>Error(mV)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'140-1435 (2)'!$D$7:$D$77</c:f>
              <c:numCache>
                <c:formatCode>General</c:formatCode>
                <c:ptCount val="71"/>
                <c:pt idx="0">
                  <c:v>4500</c:v>
                </c:pt>
                <c:pt idx="1">
                  <c:v>4600</c:v>
                </c:pt>
                <c:pt idx="2">
                  <c:v>4700</c:v>
                </c:pt>
                <c:pt idx="3">
                  <c:v>4800</c:v>
                </c:pt>
                <c:pt idx="4">
                  <c:v>4900</c:v>
                </c:pt>
                <c:pt idx="5">
                  <c:v>5000</c:v>
                </c:pt>
                <c:pt idx="6">
                  <c:v>5100</c:v>
                </c:pt>
                <c:pt idx="7">
                  <c:v>5200</c:v>
                </c:pt>
                <c:pt idx="8">
                  <c:v>5300</c:v>
                </c:pt>
                <c:pt idx="9">
                  <c:v>5400</c:v>
                </c:pt>
                <c:pt idx="10">
                  <c:v>5500</c:v>
                </c:pt>
                <c:pt idx="11">
                  <c:v>5600</c:v>
                </c:pt>
                <c:pt idx="12">
                  <c:v>5700</c:v>
                </c:pt>
                <c:pt idx="13">
                  <c:v>5800</c:v>
                </c:pt>
                <c:pt idx="14">
                  <c:v>5900</c:v>
                </c:pt>
                <c:pt idx="15">
                  <c:v>6000</c:v>
                </c:pt>
                <c:pt idx="16">
                  <c:v>6100</c:v>
                </c:pt>
                <c:pt idx="17">
                  <c:v>6200</c:v>
                </c:pt>
                <c:pt idx="18">
                  <c:v>6300</c:v>
                </c:pt>
                <c:pt idx="19">
                  <c:v>6400</c:v>
                </c:pt>
                <c:pt idx="20">
                  <c:v>6500</c:v>
                </c:pt>
                <c:pt idx="21">
                  <c:v>6600</c:v>
                </c:pt>
                <c:pt idx="22">
                  <c:v>6700</c:v>
                </c:pt>
                <c:pt idx="23">
                  <c:v>6800</c:v>
                </c:pt>
                <c:pt idx="24">
                  <c:v>6900</c:v>
                </c:pt>
                <c:pt idx="25">
                  <c:v>7000</c:v>
                </c:pt>
                <c:pt idx="26">
                  <c:v>7100</c:v>
                </c:pt>
                <c:pt idx="27">
                  <c:v>7200</c:v>
                </c:pt>
                <c:pt idx="28">
                  <c:v>7300</c:v>
                </c:pt>
                <c:pt idx="29">
                  <c:v>7400</c:v>
                </c:pt>
                <c:pt idx="30">
                  <c:v>7500</c:v>
                </c:pt>
                <c:pt idx="31">
                  <c:v>7600</c:v>
                </c:pt>
                <c:pt idx="32">
                  <c:v>7700</c:v>
                </c:pt>
                <c:pt idx="33">
                  <c:v>7800</c:v>
                </c:pt>
                <c:pt idx="34">
                  <c:v>7900</c:v>
                </c:pt>
                <c:pt idx="35">
                  <c:v>8000</c:v>
                </c:pt>
                <c:pt idx="36">
                  <c:v>8100</c:v>
                </c:pt>
                <c:pt idx="37">
                  <c:v>8200</c:v>
                </c:pt>
                <c:pt idx="38">
                  <c:v>8300</c:v>
                </c:pt>
                <c:pt idx="39">
                  <c:v>8400</c:v>
                </c:pt>
                <c:pt idx="40">
                  <c:v>8500</c:v>
                </c:pt>
                <c:pt idx="41">
                  <c:v>8600</c:v>
                </c:pt>
                <c:pt idx="42">
                  <c:v>8700</c:v>
                </c:pt>
                <c:pt idx="43">
                  <c:v>8800</c:v>
                </c:pt>
                <c:pt idx="44">
                  <c:v>8900</c:v>
                </c:pt>
                <c:pt idx="45">
                  <c:v>9000</c:v>
                </c:pt>
                <c:pt idx="46">
                  <c:v>9100</c:v>
                </c:pt>
                <c:pt idx="47">
                  <c:v>9200</c:v>
                </c:pt>
                <c:pt idx="48">
                  <c:v>9300</c:v>
                </c:pt>
                <c:pt idx="49">
                  <c:v>9400</c:v>
                </c:pt>
                <c:pt idx="50">
                  <c:v>9500</c:v>
                </c:pt>
                <c:pt idx="51">
                  <c:v>9600</c:v>
                </c:pt>
                <c:pt idx="52">
                  <c:v>9700</c:v>
                </c:pt>
                <c:pt idx="53">
                  <c:v>9800</c:v>
                </c:pt>
                <c:pt idx="54">
                  <c:v>9900</c:v>
                </c:pt>
                <c:pt idx="55">
                  <c:v>10000</c:v>
                </c:pt>
                <c:pt idx="56">
                  <c:v>10100</c:v>
                </c:pt>
                <c:pt idx="57">
                  <c:v>10200</c:v>
                </c:pt>
                <c:pt idx="58">
                  <c:v>10300</c:v>
                </c:pt>
                <c:pt idx="59">
                  <c:v>10400</c:v>
                </c:pt>
                <c:pt idx="60">
                  <c:v>10500</c:v>
                </c:pt>
                <c:pt idx="61">
                  <c:v>10600</c:v>
                </c:pt>
                <c:pt idx="62">
                  <c:v>10700</c:v>
                </c:pt>
                <c:pt idx="63">
                  <c:v>10800</c:v>
                </c:pt>
                <c:pt idx="64">
                  <c:v>10900</c:v>
                </c:pt>
                <c:pt idx="65">
                  <c:v>11000</c:v>
                </c:pt>
                <c:pt idx="66">
                  <c:v>11100</c:v>
                </c:pt>
                <c:pt idx="67">
                  <c:v>11200</c:v>
                </c:pt>
                <c:pt idx="68">
                  <c:v>11300</c:v>
                </c:pt>
                <c:pt idx="69">
                  <c:v>11400</c:v>
                </c:pt>
                <c:pt idx="70">
                  <c:v>11500</c:v>
                </c:pt>
              </c:numCache>
            </c:numRef>
          </c:xVal>
          <c:yVal>
            <c:numRef>
              <c:f>'140-1435 (2)'!$F$7:$F$77</c:f>
              <c:numCache>
                <c:formatCode>General</c:formatCode>
                <c:ptCount val="71"/>
                <c:pt idx="0">
                  <c:v>-4500</c:v>
                </c:pt>
                <c:pt idx="1">
                  <c:v>-4600</c:v>
                </c:pt>
                <c:pt idx="2">
                  <c:v>-4700</c:v>
                </c:pt>
                <c:pt idx="3">
                  <c:v>-4800</c:v>
                </c:pt>
                <c:pt idx="4">
                  <c:v>-4900</c:v>
                </c:pt>
                <c:pt idx="5">
                  <c:v>-5000</c:v>
                </c:pt>
                <c:pt idx="6">
                  <c:v>-5100</c:v>
                </c:pt>
                <c:pt idx="7">
                  <c:v>-5200</c:v>
                </c:pt>
                <c:pt idx="8">
                  <c:v>-5300</c:v>
                </c:pt>
                <c:pt idx="9">
                  <c:v>-5400</c:v>
                </c:pt>
                <c:pt idx="10">
                  <c:v>-5500</c:v>
                </c:pt>
                <c:pt idx="11">
                  <c:v>-5600</c:v>
                </c:pt>
                <c:pt idx="12">
                  <c:v>-5700</c:v>
                </c:pt>
                <c:pt idx="13">
                  <c:v>-5800</c:v>
                </c:pt>
                <c:pt idx="14">
                  <c:v>-5900</c:v>
                </c:pt>
                <c:pt idx="15">
                  <c:v>-6000</c:v>
                </c:pt>
                <c:pt idx="16">
                  <c:v>-6100</c:v>
                </c:pt>
                <c:pt idx="17">
                  <c:v>-6200</c:v>
                </c:pt>
                <c:pt idx="18">
                  <c:v>-6300</c:v>
                </c:pt>
                <c:pt idx="19">
                  <c:v>-6400</c:v>
                </c:pt>
                <c:pt idx="20">
                  <c:v>-6500</c:v>
                </c:pt>
                <c:pt idx="21">
                  <c:v>-6600</c:v>
                </c:pt>
                <c:pt idx="22">
                  <c:v>-6700</c:v>
                </c:pt>
                <c:pt idx="23">
                  <c:v>-6800</c:v>
                </c:pt>
                <c:pt idx="24">
                  <c:v>-6900</c:v>
                </c:pt>
                <c:pt idx="25">
                  <c:v>-7000</c:v>
                </c:pt>
                <c:pt idx="26">
                  <c:v>-7100</c:v>
                </c:pt>
                <c:pt idx="27">
                  <c:v>-7200</c:v>
                </c:pt>
                <c:pt idx="28">
                  <c:v>-7300</c:v>
                </c:pt>
                <c:pt idx="29">
                  <c:v>-7400</c:v>
                </c:pt>
                <c:pt idx="30">
                  <c:v>-7500</c:v>
                </c:pt>
                <c:pt idx="31">
                  <c:v>-7600</c:v>
                </c:pt>
                <c:pt idx="32">
                  <c:v>-7700</c:v>
                </c:pt>
                <c:pt idx="33">
                  <c:v>-7800</c:v>
                </c:pt>
                <c:pt idx="34">
                  <c:v>-7900</c:v>
                </c:pt>
                <c:pt idx="35">
                  <c:v>-8000</c:v>
                </c:pt>
                <c:pt idx="36">
                  <c:v>-8100</c:v>
                </c:pt>
                <c:pt idx="37">
                  <c:v>-8200</c:v>
                </c:pt>
                <c:pt idx="38">
                  <c:v>-8300</c:v>
                </c:pt>
                <c:pt idx="39">
                  <c:v>-8400</c:v>
                </c:pt>
                <c:pt idx="40">
                  <c:v>-8500</c:v>
                </c:pt>
                <c:pt idx="41">
                  <c:v>-8600</c:v>
                </c:pt>
                <c:pt idx="42">
                  <c:v>-8700</c:v>
                </c:pt>
                <c:pt idx="43">
                  <c:v>-8800</c:v>
                </c:pt>
                <c:pt idx="44">
                  <c:v>-8900</c:v>
                </c:pt>
                <c:pt idx="45">
                  <c:v>-9000</c:v>
                </c:pt>
                <c:pt idx="46">
                  <c:v>-9100</c:v>
                </c:pt>
                <c:pt idx="47">
                  <c:v>-9200</c:v>
                </c:pt>
                <c:pt idx="48">
                  <c:v>-9300</c:v>
                </c:pt>
                <c:pt idx="49">
                  <c:v>-9400</c:v>
                </c:pt>
                <c:pt idx="50">
                  <c:v>-9500</c:v>
                </c:pt>
                <c:pt idx="51">
                  <c:v>-9600</c:v>
                </c:pt>
                <c:pt idx="52">
                  <c:v>-9700</c:v>
                </c:pt>
                <c:pt idx="53">
                  <c:v>-9800</c:v>
                </c:pt>
                <c:pt idx="54">
                  <c:v>-9900</c:v>
                </c:pt>
                <c:pt idx="55">
                  <c:v>-10000</c:v>
                </c:pt>
                <c:pt idx="56">
                  <c:v>-10100</c:v>
                </c:pt>
                <c:pt idx="57">
                  <c:v>-10200</c:v>
                </c:pt>
                <c:pt idx="58">
                  <c:v>-10300</c:v>
                </c:pt>
                <c:pt idx="59">
                  <c:v>-10400</c:v>
                </c:pt>
                <c:pt idx="60">
                  <c:v>-10500</c:v>
                </c:pt>
                <c:pt idx="61">
                  <c:v>-10600</c:v>
                </c:pt>
                <c:pt idx="62">
                  <c:v>-10700</c:v>
                </c:pt>
                <c:pt idx="63">
                  <c:v>-10800</c:v>
                </c:pt>
                <c:pt idx="64">
                  <c:v>-10900</c:v>
                </c:pt>
                <c:pt idx="65">
                  <c:v>-11000</c:v>
                </c:pt>
                <c:pt idx="66">
                  <c:v>-11100</c:v>
                </c:pt>
                <c:pt idx="67">
                  <c:v>-11200</c:v>
                </c:pt>
                <c:pt idx="68">
                  <c:v>-11300</c:v>
                </c:pt>
                <c:pt idx="69">
                  <c:v>-11400</c:v>
                </c:pt>
                <c:pt idx="70">
                  <c:v>-11500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4-4D5D-B280-5521AF725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99648"/>
        <c:axId val="1959900064"/>
      </c:scatterChart>
      <c:valAx>
        <c:axId val="1959899648"/>
        <c:scaling>
          <c:orientation val="minMax"/>
          <c:max val="12000"/>
          <c:min val="5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00064"/>
        <c:crosses val="autoZero"/>
        <c:crossBetween val="midCat"/>
      </c:valAx>
      <c:valAx>
        <c:axId val="19599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89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'140-1435 (2)'!$G$6</c:f>
              <c:strCache>
                <c:ptCount val="1"/>
                <c:pt idx="0">
                  <c:v>Err(q)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'140-1435 (2)'!$D$7:$D$77</c:f>
              <c:numCache>
                <c:formatCode>General</c:formatCode>
                <c:ptCount val="71"/>
                <c:pt idx="0">
                  <c:v>4500</c:v>
                </c:pt>
                <c:pt idx="1">
                  <c:v>4600</c:v>
                </c:pt>
                <c:pt idx="2">
                  <c:v>4700</c:v>
                </c:pt>
                <c:pt idx="3">
                  <c:v>4800</c:v>
                </c:pt>
                <c:pt idx="4">
                  <c:v>4900</c:v>
                </c:pt>
                <c:pt idx="5">
                  <c:v>5000</c:v>
                </c:pt>
                <c:pt idx="6">
                  <c:v>5100</c:v>
                </c:pt>
                <c:pt idx="7">
                  <c:v>5200</c:v>
                </c:pt>
                <c:pt idx="8">
                  <c:v>5300</c:v>
                </c:pt>
                <c:pt idx="9">
                  <c:v>5400</c:v>
                </c:pt>
                <c:pt idx="10">
                  <c:v>5500</c:v>
                </c:pt>
                <c:pt idx="11">
                  <c:v>5600</c:v>
                </c:pt>
                <c:pt idx="12">
                  <c:v>5700</c:v>
                </c:pt>
                <c:pt idx="13">
                  <c:v>5800</c:v>
                </c:pt>
                <c:pt idx="14">
                  <c:v>5900</c:v>
                </c:pt>
                <c:pt idx="15">
                  <c:v>6000</c:v>
                </c:pt>
                <c:pt idx="16">
                  <c:v>6100</c:v>
                </c:pt>
                <c:pt idx="17">
                  <c:v>6200</c:v>
                </c:pt>
                <c:pt idx="18">
                  <c:v>6300</c:v>
                </c:pt>
                <c:pt idx="19">
                  <c:v>6400</c:v>
                </c:pt>
                <c:pt idx="20">
                  <c:v>6500</c:v>
                </c:pt>
                <c:pt idx="21">
                  <c:v>6600</c:v>
                </c:pt>
                <c:pt idx="22">
                  <c:v>6700</c:v>
                </c:pt>
                <c:pt idx="23">
                  <c:v>6800</c:v>
                </c:pt>
                <c:pt idx="24">
                  <c:v>6900</c:v>
                </c:pt>
                <c:pt idx="25">
                  <c:v>7000</c:v>
                </c:pt>
                <c:pt idx="26">
                  <c:v>7100</c:v>
                </c:pt>
                <c:pt idx="27">
                  <c:v>7200</c:v>
                </c:pt>
                <c:pt idx="28">
                  <c:v>7300</c:v>
                </c:pt>
                <c:pt idx="29">
                  <c:v>7400</c:v>
                </c:pt>
                <c:pt idx="30">
                  <c:v>7500</c:v>
                </c:pt>
                <c:pt idx="31">
                  <c:v>7600</c:v>
                </c:pt>
                <c:pt idx="32">
                  <c:v>7700</c:v>
                </c:pt>
                <c:pt idx="33">
                  <c:v>7800</c:v>
                </c:pt>
                <c:pt idx="34">
                  <c:v>7900</c:v>
                </c:pt>
                <c:pt idx="35">
                  <c:v>8000</c:v>
                </c:pt>
                <c:pt idx="36">
                  <c:v>8100</c:v>
                </c:pt>
                <c:pt idx="37">
                  <c:v>8200</c:v>
                </c:pt>
                <c:pt idx="38">
                  <c:v>8300</c:v>
                </c:pt>
                <c:pt idx="39">
                  <c:v>8400</c:v>
                </c:pt>
                <c:pt idx="40">
                  <c:v>8500</c:v>
                </c:pt>
                <c:pt idx="41">
                  <c:v>8600</c:v>
                </c:pt>
                <c:pt idx="42">
                  <c:v>8700</c:v>
                </c:pt>
                <c:pt idx="43">
                  <c:v>8800</c:v>
                </c:pt>
                <c:pt idx="44">
                  <c:v>8900</c:v>
                </c:pt>
                <c:pt idx="45">
                  <c:v>9000</c:v>
                </c:pt>
                <c:pt idx="46">
                  <c:v>9100</c:v>
                </c:pt>
                <c:pt idx="47">
                  <c:v>9200</c:v>
                </c:pt>
                <c:pt idx="48">
                  <c:v>9300</c:v>
                </c:pt>
                <c:pt idx="49">
                  <c:v>9400</c:v>
                </c:pt>
                <c:pt idx="50">
                  <c:v>9500</c:v>
                </c:pt>
                <c:pt idx="51">
                  <c:v>9600</c:v>
                </c:pt>
                <c:pt idx="52">
                  <c:v>9700</c:v>
                </c:pt>
                <c:pt idx="53">
                  <c:v>9800</c:v>
                </c:pt>
                <c:pt idx="54">
                  <c:v>9900</c:v>
                </c:pt>
                <c:pt idx="55">
                  <c:v>10000</c:v>
                </c:pt>
                <c:pt idx="56">
                  <c:v>10100</c:v>
                </c:pt>
                <c:pt idx="57">
                  <c:v>10200</c:v>
                </c:pt>
                <c:pt idx="58">
                  <c:v>10300</c:v>
                </c:pt>
                <c:pt idx="59">
                  <c:v>10400</c:v>
                </c:pt>
                <c:pt idx="60">
                  <c:v>10500</c:v>
                </c:pt>
                <c:pt idx="61">
                  <c:v>10600</c:v>
                </c:pt>
                <c:pt idx="62">
                  <c:v>10700</c:v>
                </c:pt>
                <c:pt idx="63">
                  <c:v>10800</c:v>
                </c:pt>
                <c:pt idx="64">
                  <c:v>10900</c:v>
                </c:pt>
                <c:pt idx="65">
                  <c:v>11000</c:v>
                </c:pt>
                <c:pt idx="66">
                  <c:v>11100</c:v>
                </c:pt>
                <c:pt idx="67">
                  <c:v>11200</c:v>
                </c:pt>
                <c:pt idx="68">
                  <c:v>11300</c:v>
                </c:pt>
                <c:pt idx="69">
                  <c:v>11400</c:v>
                </c:pt>
                <c:pt idx="70">
                  <c:v>11500</c:v>
                </c:pt>
              </c:numCache>
            </c:numRef>
          </c:cat>
          <c:val>
            <c:numRef>
              <c:f>'140-1435 (2)'!$G$7:$G$77</c:f>
              <c:numCache>
                <c:formatCode>0.0</c:formatCode>
                <c:ptCount val="71"/>
                <c:pt idx="0">
                  <c:v>-1536</c:v>
                </c:pt>
                <c:pt idx="1">
                  <c:v>-1570.1</c:v>
                </c:pt>
                <c:pt idx="2">
                  <c:v>-1604.3</c:v>
                </c:pt>
                <c:pt idx="3">
                  <c:v>-1638.4</c:v>
                </c:pt>
                <c:pt idx="4">
                  <c:v>-1672.5</c:v>
                </c:pt>
                <c:pt idx="5">
                  <c:v>-1706.7</c:v>
                </c:pt>
                <c:pt idx="6">
                  <c:v>-1740.8</c:v>
                </c:pt>
                <c:pt idx="7">
                  <c:v>-1774.9</c:v>
                </c:pt>
                <c:pt idx="8">
                  <c:v>-1809.1</c:v>
                </c:pt>
                <c:pt idx="9">
                  <c:v>-1843.2</c:v>
                </c:pt>
                <c:pt idx="10">
                  <c:v>-1877.3</c:v>
                </c:pt>
                <c:pt idx="11">
                  <c:v>-1911.5</c:v>
                </c:pt>
                <c:pt idx="12">
                  <c:v>-1945.6</c:v>
                </c:pt>
                <c:pt idx="13">
                  <c:v>-1979.7</c:v>
                </c:pt>
                <c:pt idx="14">
                  <c:v>-2013.9</c:v>
                </c:pt>
                <c:pt idx="15">
                  <c:v>-2048</c:v>
                </c:pt>
                <c:pt idx="16">
                  <c:v>-2082.1</c:v>
                </c:pt>
                <c:pt idx="17">
                  <c:v>-2116.3000000000002</c:v>
                </c:pt>
                <c:pt idx="18">
                  <c:v>-2150.4</c:v>
                </c:pt>
                <c:pt idx="19">
                  <c:v>-2184.5</c:v>
                </c:pt>
                <c:pt idx="20">
                  <c:v>-2218.6999999999998</c:v>
                </c:pt>
                <c:pt idx="21">
                  <c:v>-2252.8000000000002</c:v>
                </c:pt>
                <c:pt idx="22">
                  <c:v>-2286.9</c:v>
                </c:pt>
                <c:pt idx="23">
                  <c:v>-2321.1</c:v>
                </c:pt>
                <c:pt idx="24">
                  <c:v>-2355.1999999999998</c:v>
                </c:pt>
                <c:pt idx="25">
                  <c:v>-2389.3000000000002</c:v>
                </c:pt>
                <c:pt idx="26">
                  <c:v>-2423.5</c:v>
                </c:pt>
                <c:pt idx="27">
                  <c:v>-2457.6</c:v>
                </c:pt>
                <c:pt idx="28">
                  <c:v>-2491.6999999999998</c:v>
                </c:pt>
                <c:pt idx="29">
                  <c:v>-2525.9</c:v>
                </c:pt>
                <c:pt idx="30">
                  <c:v>-2560</c:v>
                </c:pt>
                <c:pt idx="31">
                  <c:v>-2594.1</c:v>
                </c:pt>
                <c:pt idx="32">
                  <c:v>-2628.3</c:v>
                </c:pt>
                <c:pt idx="33">
                  <c:v>-2662.4</c:v>
                </c:pt>
                <c:pt idx="34">
                  <c:v>-2696.5</c:v>
                </c:pt>
                <c:pt idx="35">
                  <c:v>-2730.7</c:v>
                </c:pt>
                <c:pt idx="36">
                  <c:v>-2764.8</c:v>
                </c:pt>
                <c:pt idx="37">
                  <c:v>-2798.9</c:v>
                </c:pt>
                <c:pt idx="38">
                  <c:v>-2833.1</c:v>
                </c:pt>
                <c:pt idx="39">
                  <c:v>-2867.2</c:v>
                </c:pt>
                <c:pt idx="40">
                  <c:v>-2901.3</c:v>
                </c:pt>
                <c:pt idx="41">
                  <c:v>-2935.5</c:v>
                </c:pt>
                <c:pt idx="42">
                  <c:v>-2969.6</c:v>
                </c:pt>
                <c:pt idx="43">
                  <c:v>-3003.7</c:v>
                </c:pt>
                <c:pt idx="44">
                  <c:v>-3037.9</c:v>
                </c:pt>
                <c:pt idx="45">
                  <c:v>-3072</c:v>
                </c:pt>
                <c:pt idx="46">
                  <c:v>-3106.1</c:v>
                </c:pt>
                <c:pt idx="47">
                  <c:v>-3140.3</c:v>
                </c:pt>
                <c:pt idx="48">
                  <c:v>-3174.4</c:v>
                </c:pt>
                <c:pt idx="49">
                  <c:v>-3208.5</c:v>
                </c:pt>
                <c:pt idx="50">
                  <c:v>-3242.7</c:v>
                </c:pt>
                <c:pt idx="51">
                  <c:v>-3276.8</c:v>
                </c:pt>
                <c:pt idx="52">
                  <c:v>-3310.9</c:v>
                </c:pt>
                <c:pt idx="53">
                  <c:v>-3345.1</c:v>
                </c:pt>
                <c:pt idx="54">
                  <c:v>-3379.2</c:v>
                </c:pt>
                <c:pt idx="55">
                  <c:v>-3413.3</c:v>
                </c:pt>
                <c:pt idx="56">
                  <c:v>-3447.5</c:v>
                </c:pt>
                <c:pt idx="57">
                  <c:v>-3481.6</c:v>
                </c:pt>
                <c:pt idx="58">
                  <c:v>-3515.7</c:v>
                </c:pt>
                <c:pt idx="59">
                  <c:v>-3549.9</c:v>
                </c:pt>
                <c:pt idx="60">
                  <c:v>-3584</c:v>
                </c:pt>
                <c:pt idx="61">
                  <c:v>-3618.1</c:v>
                </c:pt>
                <c:pt idx="62">
                  <c:v>-3652.3</c:v>
                </c:pt>
                <c:pt idx="63">
                  <c:v>-3686.4</c:v>
                </c:pt>
                <c:pt idx="64">
                  <c:v>-3720.5</c:v>
                </c:pt>
                <c:pt idx="65">
                  <c:v>-3754.7</c:v>
                </c:pt>
                <c:pt idx="66">
                  <c:v>-3788.8</c:v>
                </c:pt>
                <c:pt idx="67">
                  <c:v>-3822.9</c:v>
                </c:pt>
                <c:pt idx="68">
                  <c:v>-3857.1</c:v>
                </c:pt>
                <c:pt idx="69">
                  <c:v>-3891.2</c:v>
                </c:pt>
                <c:pt idx="70">
                  <c:v>-3925.3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5-45BC-9030-702BB9341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12608"/>
        <c:axId val="1955616352"/>
      </c:lineChart>
      <c:catAx>
        <c:axId val="19556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6352"/>
        <c:crosses val="autoZero"/>
        <c:auto val="1"/>
        <c:lblAlgn val="ctr"/>
        <c:lblOffset val="100"/>
        <c:noMultiLvlLbl val="0"/>
      </c:catAx>
      <c:valAx>
        <c:axId val="19556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'140-1435 (3)'!$D$6</c:f>
              <c:strCache>
                <c:ptCount val="1"/>
                <c:pt idx="0">
                  <c:v>Vout teorico
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'140-1435 (3)'!$D$7:$D$77</c:f>
              <c:numCache>
                <c:formatCode>General</c:formatCode>
                <c:ptCount val="71"/>
                <c:pt idx="0">
                  <c:v>4000</c:v>
                </c:pt>
                <c:pt idx="1">
                  <c:v>4100</c:v>
                </c:pt>
                <c:pt idx="2">
                  <c:v>4200</c:v>
                </c:pt>
                <c:pt idx="3">
                  <c:v>4300</c:v>
                </c:pt>
                <c:pt idx="4">
                  <c:v>4400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5000</c:v>
                </c:pt>
                <c:pt idx="11">
                  <c:v>5100</c:v>
                </c:pt>
                <c:pt idx="12">
                  <c:v>5200</c:v>
                </c:pt>
                <c:pt idx="13">
                  <c:v>5300</c:v>
                </c:pt>
                <c:pt idx="14">
                  <c:v>5400</c:v>
                </c:pt>
                <c:pt idx="15">
                  <c:v>5500</c:v>
                </c:pt>
                <c:pt idx="16">
                  <c:v>5600</c:v>
                </c:pt>
                <c:pt idx="17">
                  <c:v>5700</c:v>
                </c:pt>
                <c:pt idx="18">
                  <c:v>5800</c:v>
                </c:pt>
                <c:pt idx="19">
                  <c:v>5900</c:v>
                </c:pt>
                <c:pt idx="20">
                  <c:v>6000</c:v>
                </c:pt>
                <c:pt idx="21">
                  <c:v>6100</c:v>
                </c:pt>
                <c:pt idx="22">
                  <c:v>6200</c:v>
                </c:pt>
                <c:pt idx="23">
                  <c:v>6300</c:v>
                </c:pt>
                <c:pt idx="24">
                  <c:v>6400</c:v>
                </c:pt>
                <c:pt idx="25">
                  <c:v>6500</c:v>
                </c:pt>
                <c:pt idx="26">
                  <c:v>6600</c:v>
                </c:pt>
                <c:pt idx="27">
                  <c:v>6700</c:v>
                </c:pt>
                <c:pt idx="28">
                  <c:v>6800</c:v>
                </c:pt>
                <c:pt idx="29">
                  <c:v>6900</c:v>
                </c:pt>
                <c:pt idx="30">
                  <c:v>7000</c:v>
                </c:pt>
                <c:pt idx="31">
                  <c:v>7100</c:v>
                </c:pt>
                <c:pt idx="32">
                  <c:v>7200</c:v>
                </c:pt>
                <c:pt idx="33">
                  <c:v>7300</c:v>
                </c:pt>
                <c:pt idx="34">
                  <c:v>7400</c:v>
                </c:pt>
                <c:pt idx="35">
                  <c:v>7500</c:v>
                </c:pt>
                <c:pt idx="36">
                  <c:v>7600</c:v>
                </c:pt>
                <c:pt idx="37">
                  <c:v>7700</c:v>
                </c:pt>
                <c:pt idx="38">
                  <c:v>7800</c:v>
                </c:pt>
                <c:pt idx="39">
                  <c:v>7900</c:v>
                </c:pt>
                <c:pt idx="40">
                  <c:v>8000</c:v>
                </c:pt>
                <c:pt idx="41">
                  <c:v>8100</c:v>
                </c:pt>
                <c:pt idx="42">
                  <c:v>8200</c:v>
                </c:pt>
                <c:pt idx="43">
                  <c:v>8300</c:v>
                </c:pt>
                <c:pt idx="44">
                  <c:v>8400</c:v>
                </c:pt>
                <c:pt idx="45">
                  <c:v>8500</c:v>
                </c:pt>
                <c:pt idx="46">
                  <c:v>8600</c:v>
                </c:pt>
                <c:pt idx="47">
                  <c:v>8700</c:v>
                </c:pt>
                <c:pt idx="48">
                  <c:v>8800</c:v>
                </c:pt>
                <c:pt idx="49">
                  <c:v>8900</c:v>
                </c:pt>
                <c:pt idx="50">
                  <c:v>9000</c:v>
                </c:pt>
                <c:pt idx="51">
                  <c:v>9100</c:v>
                </c:pt>
                <c:pt idx="52">
                  <c:v>9200</c:v>
                </c:pt>
                <c:pt idx="53">
                  <c:v>9300</c:v>
                </c:pt>
                <c:pt idx="54">
                  <c:v>9400</c:v>
                </c:pt>
                <c:pt idx="55">
                  <c:v>9500</c:v>
                </c:pt>
                <c:pt idx="56">
                  <c:v>9600</c:v>
                </c:pt>
                <c:pt idx="57">
                  <c:v>9700</c:v>
                </c:pt>
                <c:pt idx="58">
                  <c:v>9800</c:v>
                </c:pt>
                <c:pt idx="59">
                  <c:v>9900</c:v>
                </c:pt>
                <c:pt idx="60">
                  <c:v>10000</c:v>
                </c:pt>
                <c:pt idx="61">
                  <c:v>10100</c:v>
                </c:pt>
                <c:pt idx="62">
                  <c:v>10200</c:v>
                </c:pt>
                <c:pt idx="63">
                  <c:v>10300</c:v>
                </c:pt>
                <c:pt idx="64">
                  <c:v>10400</c:v>
                </c:pt>
                <c:pt idx="65">
                  <c:v>10500</c:v>
                </c:pt>
                <c:pt idx="66">
                  <c:v>10600</c:v>
                </c:pt>
                <c:pt idx="67">
                  <c:v>10700</c:v>
                </c:pt>
                <c:pt idx="68">
                  <c:v>10800</c:v>
                </c:pt>
                <c:pt idx="69">
                  <c:v>10900</c:v>
                </c:pt>
                <c:pt idx="70">
                  <c:v>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3-473D-AA35-E40F1B977152}"/>
            </c:ext>
          </c:extLst>
        </c:ser>
        <c:ser>
          <c:idx val="1"/>
          <c:order val="1"/>
          <c:tx>
            <c:strRef>
              <c:f>'140-1435 (3)'!$E$6</c:f>
              <c:strCache>
                <c:ptCount val="1"/>
                <c:pt idx="0">
                  <c:v>Vout medido
(mV)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'140-1435 (3)'!$E$7:$E$77</c:f>
              <c:numCache>
                <c:formatCode>General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3-473D-AA35-E40F1B97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085360"/>
        <c:axId val="1693088272"/>
      </c:lineChart>
      <c:catAx>
        <c:axId val="169308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8272"/>
        <c:crosses val="autoZero"/>
        <c:auto val="1"/>
        <c:lblAlgn val="ctr"/>
        <c:lblOffset val="100"/>
        <c:noMultiLvlLbl val="0"/>
      </c:catAx>
      <c:valAx>
        <c:axId val="1693088272"/>
        <c:scaling>
          <c:orientation val="minMax"/>
          <c:max val="13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'140-1435 (3)'!$F$6</c:f>
              <c:strCache>
                <c:ptCount val="1"/>
                <c:pt idx="0">
                  <c:v>Error(mV)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'140-1435 (3)'!$D$7:$D$77</c:f>
              <c:numCache>
                <c:formatCode>General</c:formatCode>
                <c:ptCount val="71"/>
                <c:pt idx="0">
                  <c:v>4000</c:v>
                </c:pt>
                <c:pt idx="1">
                  <c:v>4100</c:v>
                </c:pt>
                <c:pt idx="2">
                  <c:v>4200</c:v>
                </c:pt>
                <c:pt idx="3">
                  <c:v>4300</c:v>
                </c:pt>
                <c:pt idx="4">
                  <c:v>4400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5000</c:v>
                </c:pt>
                <c:pt idx="11">
                  <c:v>5100</c:v>
                </c:pt>
                <c:pt idx="12">
                  <c:v>5200</c:v>
                </c:pt>
                <c:pt idx="13">
                  <c:v>5300</c:v>
                </c:pt>
                <c:pt idx="14">
                  <c:v>5400</c:v>
                </c:pt>
                <c:pt idx="15">
                  <c:v>5500</c:v>
                </c:pt>
                <c:pt idx="16">
                  <c:v>5600</c:v>
                </c:pt>
                <c:pt idx="17">
                  <c:v>5700</c:v>
                </c:pt>
                <c:pt idx="18">
                  <c:v>5800</c:v>
                </c:pt>
                <c:pt idx="19">
                  <c:v>5900</c:v>
                </c:pt>
                <c:pt idx="20">
                  <c:v>6000</c:v>
                </c:pt>
                <c:pt idx="21">
                  <c:v>6100</c:v>
                </c:pt>
                <c:pt idx="22">
                  <c:v>6200</c:v>
                </c:pt>
                <c:pt idx="23">
                  <c:v>6300</c:v>
                </c:pt>
                <c:pt idx="24">
                  <c:v>6400</c:v>
                </c:pt>
                <c:pt idx="25">
                  <c:v>6500</c:v>
                </c:pt>
                <c:pt idx="26">
                  <c:v>6600</c:v>
                </c:pt>
                <c:pt idx="27">
                  <c:v>6700</c:v>
                </c:pt>
                <c:pt idx="28">
                  <c:v>6800</c:v>
                </c:pt>
                <c:pt idx="29">
                  <c:v>6900</c:v>
                </c:pt>
                <c:pt idx="30">
                  <c:v>7000</c:v>
                </c:pt>
                <c:pt idx="31">
                  <c:v>7100</c:v>
                </c:pt>
                <c:pt idx="32">
                  <c:v>7200</c:v>
                </c:pt>
                <c:pt idx="33">
                  <c:v>7300</c:v>
                </c:pt>
                <c:pt idx="34">
                  <c:v>7400</c:v>
                </c:pt>
                <c:pt idx="35">
                  <c:v>7500</c:v>
                </c:pt>
                <c:pt idx="36">
                  <c:v>7600</c:v>
                </c:pt>
                <c:pt idx="37">
                  <c:v>7700</c:v>
                </c:pt>
                <c:pt idx="38">
                  <c:v>7800</c:v>
                </c:pt>
                <c:pt idx="39">
                  <c:v>7900</c:v>
                </c:pt>
                <c:pt idx="40">
                  <c:v>8000</c:v>
                </c:pt>
                <c:pt idx="41">
                  <c:v>8100</c:v>
                </c:pt>
                <c:pt idx="42">
                  <c:v>8200</c:v>
                </c:pt>
                <c:pt idx="43">
                  <c:v>8300</c:v>
                </c:pt>
                <c:pt idx="44">
                  <c:v>8400</c:v>
                </c:pt>
                <c:pt idx="45">
                  <c:v>8500</c:v>
                </c:pt>
                <c:pt idx="46">
                  <c:v>8600</c:v>
                </c:pt>
                <c:pt idx="47">
                  <c:v>8700</c:v>
                </c:pt>
                <c:pt idx="48">
                  <c:v>8800</c:v>
                </c:pt>
                <c:pt idx="49">
                  <c:v>8900</c:v>
                </c:pt>
                <c:pt idx="50">
                  <c:v>9000</c:v>
                </c:pt>
                <c:pt idx="51">
                  <c:v>9100</c:v>
                </c:pt>
                <c:pt idx="52">
                  <c:v>9200</c:v>
                </c:pt>
                <c:pt idx="53">
                  <c:v>9300</c:v>
                </c:pt>
                <c:pt idx="54">
                  <c:v>9400</c:v>
                </c:pt>
                <c:pt idx="55">
                  <c:v>9500</c:v>
                </c:pt>
                <c:pt idx="56">
                  <c:v>9600</c:v>
                </c:pt>
                <c:pt idx="57">
                  <c:v>9700</c:v>
                </c:pt>
                <c:pt idx="58">
                  <c:v>9800</c:v>
                </c:pt>
                <c:pt idx="59">
                  <c:v>9900</c:v>
                </c:pt>
                <c:pt idx="60">
                  <c:v>10000</c:v>
                </c:pt>
                <c:pt idx="61">
                  <c:v>10100</c:v>
                </c:pt>
                <c:pt idx="62">
                  <c:v>10200</c:v>
                </c:pt>
                <c:pt idx="63">
                  <c:v>10300</c:v>
                </c:pt>
                <c:pt idx="64">
                  <c:v>10400</c:v>
                </c:pt>
                <c:pt idx="65">
                  <c:v>10500</c:v>
                </c:pt>
                <c:pt idx="66">
                  <c:v>10600</c:v>
                </c:pt>
                <c:pt idx="67">
                  <c:v>10700</c:v>
                </c:pt>
                <c:pt idx="68">
                  <c:v>10800</c:v>
                </c:pt>
                <c:pt idx="69">
                  <c:v>10900</c:v>
                </c:pt>
                <c:pt idx="70">
                  <c:v>11000</c:v>
                </c:pt>
              </c:numCache>
            </c:numRef>
          </c:xVal>
          <c:yVal>
            <c:numRef>
              <c:f>'140-1435 (3)'!$F$7:$F$77</c:f>
              <c:numCache>
                <c:formatCode>General</c:formatCode>
                <c:ptCount val="71"/>
                <c:pt idx="0">
                  <c:v>-4000</c:v>
                </c:pt>
                <c:pt idx="1">
                  <c:v>-4100</c:v>
                </c:pt>
                <c:pt idx="2">
                  <c:v>-4200</c:v>
                </c:pt>
                <c:pt idx="3">
                  <c:v>-4300</c:v>
                </c:pt>
                <c:pt idx="4">
                  <c:v>-4400</c:v>
                </c:pt>
                <c:pt idx="5">
                  <c:v>-4500</c:v>
                </c:pt>
                <c:pt idx="6">
                  <c:v>-4600</c:v>
                </c:pt>
                <c:pt idx="7">
                  <c:v>-4700</c:v>
                </c:pt>
                <c:pt idx="8">
                  <c:v>-4800</c:v>
                </c:pt>
                <c:pt idx="9">
                  <c:v>-4900</c:v>
                </c:pt>
                <c:pt idx="10">
                  <c:v>-5000</c:v>
                </c:pt>
                <c:pt idx="11">
                  <c:v>-5100</c:v>
                </c:pt>
                <c:pt idx="12">
                  <c:v>-5200</c:v>
                </c:pt>
                <c:pt idx="13">
                  <c:v>-5300</c:v>
                </c:pt>
                <c:pt idx="14">
                  <c:v>-5400</c:v>
                </c:pt>
                <c:pt idx="15">
                  <c:v>-5500</c:v>
                </c:pt>
                <c:pt idx="16">
                  <c:v>-5600</c:v>
                </c:pt>
                <c:pt idx="17">
                  <c:v>-5700</c:v>
                </c:pt>
                <c:pt idx="18">
                  <c:v>-5800</c:v>
                </c:pt>
                <c:pt idx="19">
                  <c:v>-5900</c:v>
                </c:pt>
                <c:pt idx="20">
                  <c:v>-6000</c:v>
                </c:pt>
                <c:pt idx="21">
                  <c:v>-6100</c:v>
                </c:pt>
                <c:pt idx="22">
                  <c:v>-6200</c:v>
                </c:pt>
                <c:pt idx="23">
                  <c:v>-6300</c:v>
                </c:pt>
                <c:pt idx="24">
                  <c:v>-6400</c:v>
                </c:pt>
                <c:pt idx="25">
                  <c:v>-6500</c:v>
                </c:pt>
                <c:pt idx="26">
                  <c:v>-6600</c:v>
                </c:pt>
                <c:pt idx="27">
                  <c:v>-6700</c:v>
                </c:pt>
                <c:pt idx="28">
                  <c:v>-6800</c:v>
                </c:pt>
                <c:pt idx="29">
                  <c:v>-6900</c:v>
                </c:pt>
                <c:pt idx="30">
                  <c:v>-7000</c:v>
                </c:pt>
                <c:pt idx="31">
                  <c:v>-7100</c:v>
                </c:pt>
                <c:pt idx="32">
                  <c:v>-7200</c:v>
                </c:pt>
                <c:pt idx="33">
                  <c:v>-7300</c:v>
                </c:pt>
                <c:pt idx="34">
                  <c:v>-7400</c:v>
                </c:pt>
                <c:pt idx="35">
                  <c:v>-7500</c:v>
                </c:pt>
                <c:pt idx="36">
                  <c:v>-7600</c:v>
                </c:pt>
                <c:pt idx="37">
                  <c:v>-7700</c:v>
                </c:pt>
                <c:pt idx="38">
                  <c:v>-7800</c:v>
                </c:pt>
                <c:pt idx="39">
                  <c:v>-7900</c:v>
                </c:pt>
                <c:pt idx="40">
                  <c:v>-8000</c:v>
                </c:pt>
                <c:pt idx="41">
                  <c:v>-8100</c:v>
                </c:pt>
                <c:pt idx="42">
                  <c:v>-8200</c:v>
                </c:pt>
                <c:pt idx="43">
                  <c:v>-8300</c:v>
                </c:pt>
                <c:pt idx="44">
                  <c:v>-8400</c:v>
                </c:pt>
                <c:pt idx="45">
                  <c:v>-8500</c:v>
                </c:pt>
                <c:pt idx="46">
                  <c:v>-8600</c:v>
                </c:pt>
                <c:pt idx="47">
                  <c:v>-8700</c:v>
                </c:pt>
                <c:pt idx="48">
                  <c:v>-8800</c:v>
                </c:pt>
                <c:pt idx="49">
                  <c:v>-8900</c:v>
                </c:pt>
                <c:pt idx="50">
                  <c:v>-9000</c:v>
                </c:pt>
                <c:pt idx="51">
                  <c:v>-9100</c:v>
                </c:pt>
                <c:pt idx="52">
                  <c:v>-9200</c:v>
                </c:pt>
                <c:pt idx="53">
                  <c:v>-9300</c:v>
                </c:pt>
                <c:pt idx="54">
                  <c:v>-9400</c:v>
                </c:pt>
                <c:pt idx="55">
                  <c:v>-9500</c:v>
                </c:pt>
                <c:pt idx="56">
                  <c:v>-9600</c:v>
                </c:pt>
                <c:pt idx="57">
                  <c:v>-9700</c:v>
                </c:pt>
                <c:pt idx="58">
                  <c:v>-9800</c:v>
                </c:pt>
                <c:pt idx="59">
                  <c:v>-9900</c:v>
                </c:pt>
                <c:pt idx="60">
                  <c:v>-10000</c:v>
                </c:pt>
                <c:pt idx="61">
                  <c:v>-10100</c:v>
                </c:pt>
                <c:pt idx="62">
                  <c:v>-10200</c:v>
                </c:pt>
                <c:pt idx="63">
                  <c:v>-10300</c:v>
                </c:pt>
                <c:pt idx="64">
                  <c:v>-10400</c:v>
                </c:pt>
                <c:pt idx="65">
                  <c:v>-10500</c:v>
                </c:pt>
                <c:pt idx="66">
                  <c:v>-10600</c:v>
                </c:pt>
                <c:pt idx="67">
                  <c:v>-10700</c:v>
                </c:pt>
                <c:pt idx="68">
                  <c:v>-10800</c:v>
                </c:pt>
                <c:pt idx="69">
                  <c:v>-10900</c:v>
                </c:pt>
                <c:pt idx="70">
                  <c:v>-11000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C-46F0-BF69-5ED460A23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99648"/>
        <c:axId val="1959900064"/>
      </c:scatterChart>
      <c:valAx>
        <c:axId val="1959899648"/>
        <c:scaling>
          <c:orientation val="minMax"/>
          <c:max val="12000"/>
          <c:min val="5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00064"/>
        <c:crosses val="autoZero"/>
        <c:crossBetween val="midCat"/>
      </c:valAx>
      <c:valAx>
        <c:axId val="19599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89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'140-1435 (3)'!$G$6</c:f>
              <c:strCache>
                <c:ptCount val="1"/>
                <c:pt idx="0">
                  <c:v>Err(q)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'140-1435 (3)'!$D$7:$D$77</c:f>
              <c:numCache>
                <c:formatCode>General</c:formatCode>
                <c:ptCount val="71"/>
                <c:pt idx="0">
                  <c:v>4000</c:v>
                </c:pt>
                <c:pt idx="1">
                  <c:v>4100</c:v>
                </c:pt>
                <c:pt idx="2">
                  <c:v>4200</c:v>
                </c:pt>
                <c:pt idx="3">
                  <c:v>4300</c:v>
                </c:pt>
                <c:pt idx="4">
                  <c:v>4400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5000</c:v>
                </c:pt>
                <c:pt idx="11">
                  <c:v>5100</c:v>
                </c:pt>
                <c:pt idx="12">
                  <c:v>5200</c:v>
                </c:pt>
                <c:pt idx="13">
                  <c:v>5300</c:v>
                </c:pt>
                <c:pt idx="14">
                  <c:v>5400</c:v>
                </c:pt>
                <c:pt idx="15">
                  <c:v>5500</c:v>
                </c:pt>
                <c:pt idx="16">
                  <c:v>5600</c:v>
                </c:pt>
                <c:pt idx="17">
                  <c:v>5700</c:v>
                </c:pt>
                <c:pt idx="18">
                  <c:v>5800</c:v>
                </c:pt>
                <c:pt idx="19">
                  <c:v>5900</c:v>
                </c:pt>
                <c:pt idx="20">
                  <c:v>6000</c:v>
                </c:pt>
                <c:pt idx="21">
                  <c:v>6100</c:v>
                </c:pt>
                <c:pt idx="22">
                  <c:v>6200</c:v>
                </c:pt>
                <c:pt idx="23">
                  <c:v>6300</c:v>
                </c:pt>
                <c:pt idx="24">
                  <c:v>6400</c:v>
                </c:pt>
                <c:pt idx="25">
                  <c:v>6500</c:v>
                </c:pt>
                <c:pt idx="26">
                  <c:v>6600</c:v>
                </c:pt>
                <c:pt idx="27">
                  <c:v>6700</c:v>
                </c:pt>
                <c:pt idx="28">
                  <c:v>6800</c:v>
                </c:pt>
                <c:pt idx="29">
                  <c:v>6900</c:v>
                </c:pt>
                <c:pt idx="30">
                  <c:v>7000</c:v>
                </c:pt>
                <c:pt idx="31">
                  <c:v>7100</c:v>
                </c:pt>
                <c:pt idx="32">
                  <c:v>7200</c:v>
                </c:pt>
                <c:pt idx="33">
                  <c:v>7300</c:v>
                </c:pt>
                <c:pt idx="34">
                  <c:v>7400</c:v>
                </c:pt>
                <c:pt idx="35">
                  <c:v>7500</c:v>
                </c:pt>
                <c:pt idx="36">
                  <c:v>7600</c:v>
                </c:pt>
                <c:pt idx="37">
                  <c:v>7700</c:v>
                </c:pt>
                <c:pt idx="38">
                  <c:v>7800</c:v>
                </c:pt>
                <c:pt idx="39">
                  <c:v>7900</c:v>
                </c:pt>
                <c:pt idx="40">
                  <c:v>8000</c:v>
                </c:pt>
                <c:pt idx="41">
                  <c:v>8100</c:v>
                </c:pt>
                <c:pt idx="42">
                  <c:v>8200</c:v>
                </c:pt>
                <c:pt idx="43">
                  <c:v>8300</c:v>
                </c:pt>
                <c:pt idx="44">
                  <c:v>8400</c:v>
                </c:pt>
                <c:pt idx="45">
                  <c:v>8500</c:v>
                </c:pt>
                <c:pt idx="46">
                  <c:v>8600</c:v>
                </c:pt>
                <c:pt idx="47">
                  <c:v>8700</c:v>
                </c:pt>
                <c:pt idx="48">
                  <c:v>8800</c:v>
                </c:pt>
                <c:pt idx="49">
                  <c:v>8900</c:v>
                </c:pt>
                <c:pt idx="50">
                  <c:v>9000</c:v>
                </c:pt>
                <c:pt idx="51">
                  <c:v>9100</c:v>
                </c:pt>
                <c:pt idx="52">
                  <c:v>9200</c:v>
                </c:pt>
                <c:pt idx="53">
                  <c:v>9300</c:v>
                </c:pt>
                <c:pt idx="54">
                  <c:v>9400</c:v>
                </c:pt>
                <c:pt idx="55">
                  <c:v>9500</c:v>
                </c:pt>
                <c:pt idx="56">
                  <c:v>9600</c:v>
                </c:pt>
                <c:pt idx="57">
                  <c:v>9700</c:v>
                </c:pt>
                <c:pt idx="58">
                  <c:v>9800</c:v>
                </c:pt>
                <c:pt idx="59">
                  <c:v>9900</c:v>
                </c:pt>
                <c:pt idx="60">
                  <c:v>10000</c:v>
                </c:pt>
                <c:pt idx="61">
                  <c:v>10100</c:v>
                </c:pt>
                <c:pt idx="62">
                  <c:v>10200</c:v>
                </c:pt>
                <c:pt idx="63">
                  <c:v>10300</c:v>
                </c:pt>
                <c:pt idx="64">
                  <c:v>10400</c:v>
                </c:pt>
                <c:pt idx="65">
                  <c:v>10500</c:v>
                </c:pt>
                <c:pt idx="66">
                  <c:v>10600</c:v>
                </c:pt>
                <c:pt idx="67">
                  <c:v>10700</c:v>
                </c:pt>
                <c:pt idx="68">
                  <c:v>10800</c:v>
                </c:pt>
                <c:pt idx="69">
                  <c:v>10900</c:v>
                </c:pt>
                <c:pt idx="70">
                  <c:v>11000</c:v>
                </c:pt>
              </c:numCache>
            </c:numRef>
          </c:cat>
          <c:val>
            <c:numRef>
              <c:f>'140-1435 (3)'!$G$7:$G$77</c:f>
              <c:numCache>
                <c:formatCode>0.0</c:formatCode>
                <c:ptCount val="71"/>
                <c:pt idx="0">
                  <c:v>-1365.3</c:v>
                </c:pt>
                <c:pt idx="1">
                  <c:v>-1399.5</c:v>
                </c:pt>
                <c:pt idx="2">
                  <c:v>-1433.6</c:v>
                </c:pt>
                <c:pt idx="3">
                  <c:v>-1467.7</c:v>
                </c:pt>
                <c:pt idx="4">
                  <c:v>-1501.9</c:v>
                </c:pt>
                <c:pt idx="5">
                  <c:v>-1536</c:v>
                </c:pt>
                <c:pt idx="6">
                  <c:v>-1570.1</c:v>
                </c:pt>
                <c:pt idx="7">
                  <c:v>-1604.3</c:v>
                </c:pt>
                <c:pt idx="8">
                  <c:v>-1638.4</c:v>
                </c:pt>
                <c:pt idx="9">
                  <c:v>-1672.5</c:v>
                </c:pt>
                <c:pt idx="10">
                  <c:v>-1706.7</c:v>
                </c:pt>
                <c:pt idx="11">
                  <c:v>-1740.8</c:v>
                </c:pt>
                <c:pt idx="12">
                  <c:v>-1774.9</c:v>
                </c:pt>
                <c:pt idx="13">
                  <c:v>-1809.1</c:v>
                </c:pt>
                <c:pt idx="14">
                  <c:v>-1843.2</c:v>
                </c:pt>
                <c:pt idx="15">
                  <c:v>-1877.3</c:v>
                </c:pt>
                <c:pt idx="16">
                  <c:v>-1911.5</c:v>
                </c:pt>
                <c:pt idx="17">
                  <c:v>-1945.6</c:v>
                </c:pt>
                <c:pt idx="18">
                  <c:v>-1979.7</c:v>
                </c:pt>
                <c:pt idx="19">
                  <c:v>-2013.9</c:v>
                </c:pt>
                <c:pt idx="20">
                  <c:v>-2048</c:v>
                </c:pt>
                <c:pt idx="21">
                  <c:v>-2082.1</c:v>
                </c:pt>
                <c:pt idx="22">
                  <c:v>-2116.3000000000002</c:v>
                </c:pt>
                <c:pt idx="23">
                  <c:v>-2150.4</c:v>
                </c:pt>
                <c:pt idx="24">
                  <c:v>-2184.5</c:v>
                </c:pt>
                <c:pt idx="25">
                  <c:v>-2218.6999999999998</c:v>
                </c:pt>
                <c:pt idx="26">
                  <c:v>-2252.8000000000002</c:v>
                </c:pt>
                <c:pt idx="27">
                  <c:v>-2286.9</c:v>
                </c:pt>
                <c:pt idx="28">
                  <c:v>-2321.1</c:v>
                </c:pt>
                <c:pt idx="29">
                  <c:v>-2355.1999999999998</c:v>
                </c:pt>
                <c:pt idx="30">
                  <c:v>-2389.3000000000002</c:v>
                </c:pt>
                <c:pt idx="31">
                  <c:v>-2423.5</c:v>
                </c:pt>
                <c:pt idx="32">
                  <c:v>-2457.6</c:v>
                </c:pt>
                <c:pt idx="33">
                  <c:v>-2491.6999999999998</c:v>
                </c:pt>
                <c:pt idx="34">
                  <c:v>-2525.9</c:v>
                </c:pt>
                <c:pt idx="35">
                  <c:v>-2560</c:v>
                </c:pt>
                <c:pt idx="36">
                  <c:v>-2594.1</c:v>
                </c:pt>
                <c:pt idx="37">
                  <c:v>-2628.3</c:v>
                </c:pt>
                <c:pt idx="38">
                  <c:v>-2662.4</c:v>
                </c:pt>
                <c:pt idx="39">
                  <c:v>-2696.5</c:v>
                </c:pt>
                <c:pt idx="40">
                  <c:v>-2730.7</c:v>
                </c:pt>
                <c:pt idx="41">
                  <c:v>-2764.8</c:v>
                </c:pt>
                <c:pt idx="42">
                  <c:v>-2798.9</c:v>
                </c:pt>
                <c:pt idx="43">
                  <c:v>-2833.1</c:v>
                </c:pt>
                <c:pt idx="44">
                  <c:v>-2867.2</c:v>
                </c:pt>
                <c:pt idx="45">
                  <c:v>-2901.3</c:v>
                </c:pt>
                <c:pt idx="46">
                  <c:v>-2935.5</c:v>
                </c:pt>
                <c:pt idx="47">
                  <c:v>-2969.6</c:v>
                </c:pt>
                <c:pt idx="48">
                  <c:v>-3003.7</c:v>
                </c:pt>
                <c:pt idx="49">
                  <c:v>-3037.9</c:v>
                </c:pt>
                <c:pt idx="50">
                  <c:v>-3072</c:v>
                </c:pt>
                <c:pt idx="51">
                  <c:v>-3106.1</c:v>
                </c:pt>
                <c:pt idx="52">
                  <c:v>-3140.3</c:v>
                </c:pt>
                <c:pt idx="53">
                  <c:v>-3174.4</c:v>
                </c:pt>
                <c:pt idx="54">
                  <c:v>-3208.5</c:v>
                </c:pt>
                <c:pt idx="55">
                  <c:v>-3242.7</c:v>
                </c:pt>
                <c:pt idx="56">
                  <c:v>-3276.8</c:v>
                </c:pt>
                <c:pt idx="57">
                  <c:v>-3310.9</c:v>
                </c:pt>
                <c:pt idx="58">
                  <c:v>-3345.1</c:v>
                </c:pt>
                <c:pt idx="59">
                  <c:v>-3379.2</c:v>
                </c:pt>
                <c:pt idx="60">
                  <c:v>-3413.3</c:v>
                </c:pt>
                <c:pt idx="61">
                  <c:v>-3447.5</c:v>
                </c:pt>
                <c:pt idx="62">
                  <c:v>-3481.6</c:v>
                </c:pt>
                <c:pt idx="63">
                  <c:v>-3515.7</c:v>
                </c:pt>
                <c:pt idx="64">
                  <c:v>-3549.9</c:v>
                </c:pt>
                <c:pt idx="65">
                  <c:v>-3584</c:v>
                </c:pt>
                <c:pt idx="66">
                  <c:v>-3618.1</c:v>
                </c:pt>
                <c:pt idx="67">
                  <c:v>-3652.3</c:v>
                </c:pt>
                <c:pt idx="68">
                  <c:v>-3686.4</c:v>
                </c:pt>
                <c:pt idx="69">
                  <c:v>-3720.5</c:v>
                </c:pt>
                <c:pt idx="70">
                  <c:v>-3754.7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3-4397-96EA-E925A4321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12608"/>
        <c:axId val="1955616352"/>
      </c:lineChart>
      <c:catAx>
        <c:axId val="19556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6352"/>
        <c:crosses val="autoZero"/>
        <c:auto val="1"/>
        <c:lblAlgn val="ctr"/>
        <c:lblOffset val="100"/>
        <c:noMultiLvlLbl val="0"/>
      </c:catAx>
      <c:valAx>
        <c:axId val="19556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'40-180'!$D$6</c:f>
              <c:strCache>
                <c:ptCount val="1"/>
                <c:pt idx="0">
                  <c:v>Vout teorico
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'40-180'!$D$7:$D$77</c:f>
              <c:numCache>
                <c:formatCode>General</c:formatCode>
                <c:ptCount val="71"/>
                <c:pt idx="0">
                  <c:v>4000</c:v>
                </c:pt>
                <c:pt idx="1">
                  <c:v>4100</c:v>
                </c:pt>
                <c:pt idx="2">
                  <c:v>4200</c:v>
                </c:pt>
                <c:pt idx="3">
                  <c:v>4300</c:v>
                </c:pt>
                <c:pt idx="4">
                  <c:v>4400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5000</c:v>
                </c:pt>
                <c:pt idx="11">
                  <c:v>5100</c:v>
                </c:pt>
                <c:pt idx="12">
                  <c:v>5200</c:v>
                </c:pt>
                <c:pt idx="13">
                  <c:v>5300</c:v>
                </c:pt>
                <c:pt idx="14">
                  <c:v>5400</c:v>
                </c:pt>
                <c:pt idx="15">
                  <c:v>5500</c:v>
                </c:pt>
                <c:pt idx="16">
                  <c:v>5600</c:v>
                </c:pt>
                <c:pt idx="17">
                  <c:v>5700</c:v>
                </c:pt>
                <c:pt idx="18">
                  <c:v>5800</c:v>
                </c:pt>
                <c:pt idx="19">
                  <c:v>5900</c:v>
                </c:pt>
                <c:pt idx="20">
                  <c:v>6000</c:v>
                </c:pt>
                <c:pt idx="21">
                  <c:v>6100</c:v>
                </c:pt>
                <c:pt idx="22">
                  <c:v>6200</c:v>
                </c:pt>
                <c:pt idx="23">
                  <c:v>6300</c:v>
                </c:pt>
                <c:pt idx="24">
                  <c:v>6400</c:v>
                </c:pt>
                <c:pt idx="25">
                  <c:v>6500</c:v>
                </c:pt>
                <c:pt idx="26">
                  <c:v>6600</c:v>
                </c:pt>
                <c:pt idx="27">
                  <c:v>6700</c:v>
                </c:pt>
                <c:pt idx="28">
                  <c:v>6800</c:v>
                </c:pt>
                <c:pt idx="29">
                  <c:v>6900</c:v>
                </c:pt>
                <c:pt idx="30">
                  <c:v>7000</c:v>
                </c:pt>
                <c:pt idx="31">
                  <c:v>7100</c:v>
                </c:pt>
                <c:pt idx="32">
                  <c:v>7200</c:v>
                </c:pt>
                <c:pt idx="33">
                  <c:v>7300</c:v>
                </c:pt>
                <c:pt idx="34">
                  <c:v>7400</c:v>
                </c:pt>
                <c:pt idx="35">
                  <c:v>7500</c:v>
                </c:pt>
                <c:pt idx="36">
                  <c:v>7600</c:v>
                </c:pt>
                <c:pt idx="37">
                  <c:v>7700</c:v>
                </c:pt>
                <c:pt idx="38">
                  <c:v>7800</c:v>
                </c:pt>
                <c:pt idx="39">
                  <c:v>7900</c:v>
                </c:pt>
                <c:pt idx="40">
                  <c:v>8000</c:v>
                </c:pt>
                <c:pt idx="41">
                  <c:v>8100</c:v>
                </c:pt>
                <c:pt idx="42">
                  <c:v>8200</c:v>
                </c:pt>
                <c:pt idx="43">
                  <c:v>8300</c:v>
                </c:pt>
                <c:pt idx="44">
                  <c:v>8400</c:v>
                </c:pt>
                <c:pt idx="45">
                  <c:v>8500</c:v>
                </c:pt>
                <c:pt idx="46">
                  <c:v>8600</c:v>
                </c:pt>
                <c:pt idx="47">
                  <c:v>8700</c:v>
                </c:pt>
                <c:pt idx="48">
                  <c:v>8800</c:v>
                </c:pt>
                <c:pt idx="49">
                  <c:v>8900</c:v>
                </c:pt>
                <c:pt idx="50">
                  <c:v>9000</c:v>
                </c:pt>
                <c:pt idx="51">
                  <c:v>9100</c:v>
                </c:pt>
                <c:pt idx="52">
                  <c:v>9200</c:v>
                </c:pt>
                <c:pt idx="53">
                  <c:v>9300</c:v>
                </c:pt>
                <c:pt idx="54">
                  <c:v>9400</c:v>
                </c:pt>
                <c:pt idx="55">
                  <c:v>9500</c:v>
                </c:pt>
                <c:pt idx="56">
                  <c:v>9600</c:v>
                </c:pt>
                <c:pt idx="57">
                  <c:v>9700</c:v>
                </c:pt>
                <c:pt idx="58">
                  <c:v>9800</c:v>
                </c:pt>
                <c:pt idx="59">
                  <c:v>9900</c:v>
                </c:pt>
                <c:pt idx="60">
                  <c:v>10000</c:v>
                </c:pt>
                <c:pt idx="61">
                  <c:v>10100</c:v>
                </c:pt>
                <c:pt idx="62">
                  <c:v>10200</c:v>
                </c:pt>
                <c:pt idx="63">
                  <c:v>10300</c:v>
                </c:pt>
                <c:pt idx="64">
                  <c:v>10400</c:v>
                </c:pt>
                <c:pt idx="65">
                  <c:v>10500</c:v>
                </c:pt>
                <c:pt idx="66">
                  <c:v>10600</c:v>
                </c:pt>
                <c:pt idx="67">
                  <c:v>10700</c:v>
                </c:pt>
                <c:pt idx="68">
                  <c:v>10800</c:v>
                </c:pt>
                <c:pt idx="69">
                  <c:v>10900</c:v>
                </c:pt>
                <c:pt idx="70">
                  <c:v>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1-4EEA-A071-4889D21330BC}"/>
            </c:ext>
          </c:extLst>
        </c:ser>
        <c:ser>
          <c:idx val="1"/>
          <c:order val="1"/>
          <c:tx>
            <c:strRef>
              <c:f>'40-180'!$E$6</c:f>
              <c:strCache>
                <c:ptCount val="1"/>
                <c:pt idx="0">
                  <c:v>Vout medido
(mV)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'40-180'!$E$7:$E$77</c:f>
              <c:numCache>
                <c:formatCode>General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1-4EEA-A071-4889D213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085360"/>
        <c:axId val="1693088272"/>
      </c:lineChart>
      <c:catAx>
        <c:axId val="169308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8272"/>
        <c:crosses val="autoZero"/>
        <c:auto val="1"/>
        <c:lblAlgn val="ctr"/>
        <c:lblOffset val="100"/>
        <c:noMultiLvlLbl val="0"/>
      </c:catAx>
      <c:valAx>
        <c:axId val="1693088272"/>
        <c:scaling>
          <c:orientation val="minMax"/>
          <c:max val="13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'40-180'!$F$6</c:f>
              <c:strCache>
                <c:ptCount val="1"/>
                <c:pt idx="0">
                  <c:v>Error(mV)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'40-180'!$D$7:$D$77</c:f>
              <c:numCache>
                <c:formatCode>General</c:formatCode>
                <c:ptCount val="71"/>
                <c:pt idx="0">
                  <c:v>4000</c:v>
                </c:pt>
                <c:pt idx="1">
                  <c:v>4100</c:v>
                </c:pt>
                <c:pt idx="2">
                  <c:v>4200</c:v>
                </c:pt>
                <c:pt idx="3">
                  <c:v>4300</c:v>
                </c:pt>
                <c:pt idx="4">
                  <c:v>4400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5000</c:v>
                </c:pt>
                <c:pt idx="11">
                  <c:v>5100</c:v>
                </c:pt>
                <c:pt idx="12">
                  <c:v>5200</c:v>
                </c:pt>
                <c:pt idx="13">
                  <c:v>5300</c:v>
                </c:pt>
                <c:pt idx="14">
                  <c:v>5400</c:v>
                </c:pt>
                <c:pt idx="15">
                  <c:v>5500</c:v>
                </c:pt>
                <c:pt idx="16">
                  <c:v>5600</c:v>
                </c:pt>
                <c:pt idx="17">
                  <c:v>5700</c:v>
                </c:pt>
                <c:pt idx="18">
                  <c:v>5800</c:v>
                </c:pt>
                <c:pt idx="19">
                  <c:v>5900</c:v>
                </c:pt>
                <c:pt idx="20">
                  <c:v>6000</c:v>
                </c:pt>
                <c:pt idx="21">
                  <c:v>6100</c:v>
                </c:pt>
                <c:pt idx="22">
                  <c:v>6200</c:v>
                </c:pt>
                <c:pt idx="23">
                  <c:v>6300</c:v>
                </c:pt>
                <c:pt idx="24">
                  <c:v>6400</c:v>
                </c:pt>
                <c:pt idx="25">
                  <c:v>6500</c:v>
                </c:pt>
                <c:pt idx="26">
                  <c:v>6600</c:v>
                </c:pt>
                <c:pt idx="27">
                  <c:v>6700</c:v>
                </c:pt>
                <c:pt idx="28">
                  <c:v>6800</c:v>
                </c:pt>
                <c:pt idx="29">
                  <c:v>6900</c:v>
                </c:pt>
                <c:pt idx="30">
                  <c:v>7000</c:v>
                </c:pt>
                <c:pt idx="31">
                  <c:v>7100</c:v>
                </c:pt>
                <c:pt idx="32">
                  <c:v>7200</c:v>
                </c:pt>
                <c:pt idx="33">
                  <c:v>7300</c:v>
                </c:pt>
                <c:pt idx="34">
                  <c:v>7400</c:v>
                </c:pt>
                <c:pt idx="35">
                  <c:v>7500</c:v>
                </c:pt>
                <c:pt idx="36">
                  <c:v>7600</c:v>
                </c:pt>
                <c:pt idx="37">
                  <c:v>7700</c:v>
                </c:pt>
                <c:pt idx="38">
                  <c:v>7800</c:v>
                </c:pt>
                <c:pt idx="39">
                  <c:v>7900</c:v>
                </c:pt>
                <c:pt idx="40">
                  <c:v>8000</c:v>
                </c:pt>
                <c:pt idx="41">
                  <c:v>8100</c:v>
                </c:pt>
                <c:pt idx="42">
                  <c:v>8200</c:v>
                </c:pt>
                <c:pt idx="43">
                  <c:v>8300</c:v>
                </c:pt>
                <c:pt idx="44">
                  <c:v>8400</c:v>
                </c:pt>
                <c:pt idx="45">
                  <c:v>8500</c:v>
                </c:pt>
                <c:pt idx="46">
                  <c:v>8600</c:v>
                </c:pt>
                <c:pt idx="47">
                  <c:v>8700</c:v>
                </c:pt>
                <c:pt idx="48">
                  <c:v>8800</c:v>
                </c:pt>
                <c:pt idx="49">
                  <c:v>8900</c:v>
                </c:pt>
                <c:pt idx="50">
                  <c:v>9000</c:v>
                </c:pt>
                <c:pt idx="51">
                  <c:v>9100</c:v>
                </c:pt>
                <c:pt idx="52">
                  <c:v>9200</c:v>
                </c:pt>
                <c:pt idx="53">
                  <c:v>9300</c:v>
                </c:pt>
                <c:pt idx="54">
                  <c:v>9400</c:v>
                </c:pt>
                <c:pt idx="55">
                  <c:v>9500</c:v>
                </c:pt>
                <c:pt idx="56">
                  <c:v>9600</c:v>
                </c:pt>
                <c:pt idx="57">
                  <c:v>9700</c:v>
                </c:pt>
                <c:pt idx="58">
                  <c:v>9800</c:v>
                </c:pt>
                <c:pt idx="59">
                  <c:v>9900</c:v>
                </c:pt>
                <c:pt idx="60">
                  <c:v>10000</c:v>
                </c:pt>
                <c:pt idx="61">
                  <c:v>10100</c:v>
                </c:pt>
                <c:pt idx="62">
                  <c:v>10200</c:v>
                </c:pt>
                <c:pt idx="63">
                  <c:v>10300</c:v>
                </c:pt>
                <c:pt idx="64">
                  <c:v>10400</c:v>
                </c:pt>
                <c:pt idx="65">
                  <c:v>10500</c:v>
                </c:pt>
                <c:pt idx="66">
                  <c:v>10600</c:v>
                </c:pt>
                <c:pt idx="67">
                  <c:v>10700</c:v>
                </c:pt>
                <c:pt idx="68">
                  <c:v>10800</c:v>
                </c:pt>
                <c:pt idx="69">
                  <c:v>10900</c:v>
                </c:pt>
                <c:pt idx="70">
                  <c:v>11000</c:v>
                </c:pt>
              </c:numCache>
            </c:numRef>
          </c:xVal>
          <c:yVal>
            <c:numRef>
              <c:f>'40-180'!$F$7:$F$77</c:f>
              <c:numCache>
                <c:formatCode>General</c:formatCode>
                <c:ptCount val="71"/>
                <c:pt idx="0">
                  <c:v>-4000</c:v>
                </c:pt>
                <c:pt idx="1">
                  <c:v>-4100</c:v>
                </c:pt>
                <c:pt idx="2">
                  <c:v>-4200</c:v>
                </c:pt>
                <c:pt idx="3">
                  <c:v>-4300</c:v>
                </c:pt>
                <c:pt idx="4">
                  <c:v>-4400</c:v>
                </c:pt>
                <c:pt idx="5">
                  <c:v>-4500</c:v>
                </c:pt>
                <c:pt idx="6">
                  <c:v>-4600</c:v>
                </c:pt>
                <c:pt idx="7">
                  <c:v>-4700</c:v>
                </c:pt>
                <c:pt idx="8">
                  <c:v>-4800</c:v>
                </c:pt>
                <c:pt idx="9">
                  <c:v>-4900</c:v>
                </c:pt>
                <c:pt idx="10">
                  <c:v>-5000</c:v>
                </c:pt>
                <c:pt idx="11">
                  <c:v>-5100</c:v>
                </c:pt>
                <c:pt idx="12">
                  <c:v>-5200</c:v>
                </c:pt>
                <c:pt idx="13">
                  <c:v>-5300</c:v>
                </c:pt>
                <c:pt idx="14">
                  <c:v>-5400</c:v>
                </c:pt>
                <c:pt idx="15">
                  <c:v>-5500</c:v>
                </c:pt>
                <c:pt idx="16">
                  <c:v>-5600</c:v>
                </c:pt>
                <c:pt idx="17">
                  <c:v>-5700</c:v>
                </c:pt>
                <c:pt idx="18">
                  <c:v>-5800</c:v>
                </c:pt>
                <c:pt idx="19">
                  <c:v>-5900</c:v>
                </c:pt>
                <c:pt idx="20">
                  <c:v>-6000</c:v>
                </c:pt>
                <c:pt idx="21">
                  <c:v>-6100</c:v>
                </c:pt>
                <c:pt idx="22">
                  <c:v>-6200</c:v>
                </c:pt>
                <c:pt idx="23">
                  <c:v>-6300</c:v>
                </c:pt>
                <c:pt idx="24">
                  <c:v>-6400</c:v>
                </c:pt>
                <c:pt idx="25">
                  <c:v>-6500</c:v>
                </c:pt>
                <c:pt idx="26">
                  <c:v>-6600</c:v>
                </c:pt>
                <c:pt idx="27">
                  <c:v>-6700</c:v>
                </c:pt>
                <c:pt idx="28">
                  <c:v>-6800</c:v>
                </c:pt>
                <c:pt idx="29">
                  <c:v>-6900</c:v>
                </c:pt>
                <c:pt idx="30">
                  <c:v>-7000</c:v>
                </c:pt>
                <c:pt idx="31">
                  <c:v>-7100</c:v>
                </c:pt>
                <c:pt idx="32">
                  <c:v>-7200</c:v>
                </c:pt>
                <c:pt idx="33">
                  <c:v>-7300</c:v>
                </c:pt>
                <c:pt idx="34">
                  <c:v>-7400</c:v>
                </c:pt>
                <c:pt idx="35">
                  <c:v>-7500</c:v>
                </c:pt>
                <c:pt idx="36">
                  <c:v>-7600</c:v>
                </c:pt>
                <c:pt idx="37">
                  <c:v>-7700</c:v>
                </c:pt>
                <c:pt idx="38">
                  <c:v>-7800</c:v>
                </c:pt>
                <c:pt idx="39">
                  <c:v>-7900</c:v>
                </c:pt>
                <c:pt idx="40">
                  <c:v>-8000</c:v>
                </c:pt>
                <c:pt idx="41">
                  <c:v>-8100</c:v>
                </c:pt>
                <c:pt idx="42">
                  <c:v>-8200</c:v>
                </c:pt>
                <c:pt idx="43">
                  <c:v>-8300</c:v>
                </c:pt>
                <c:pt idx="44">
                  <c:v>-8400</c:v>
                </c:pt>
                <c:pt idx="45">
                  <c:v>-8500</c:v>
                </c:pt>
                <c:pt idx="46">
                  <c:v>-8600</c:v>
                </c:pt>
                <c:pt idx="47">
                  <c:v>-8700</c:v>
                </c:pt>
                <c:pt idx="48">
                  <c:v>-8800</c:v>
                </c:pt>
                <c:pt idx="49">
                  <c:v>-8900</c:v>
                </c:pt>
                <c:pt idx="50">
                  <c:v>-9000</c:v>
                </c:pt>
                <c:pt idx="51">
                  <c:v>-9100</c:v>
                </c:pt>
                <c:pt idx="52">
                  <c:v>-9200</c:v>
                </c:pt>
                <c:pt idx="53">
                  <c:v>-9300</c:v>
                </c:pt>
                <c:pt idx="54">
                  <c:v>-9400</c:v>
                </c:pt>
                <c:pt idx="55">
                  <c:v>-9500</c:v>
                </c:pt>
                <c:pt idx="56">
                  <c:v>-9600</c:v>
                </c:pt>
                <c:pt idx="57">
                  <c:v>-9700</c:v>
                </c:pt>
                <c:pt idx="58">
                  <c:v>-9800</c:v>
                </c:pt>
                <c:pt idx="59">
                  <c:v>-9900</c:v>
                </c:pt>
                <c:pt idx="60">
                  <c:v>-10000</c:v>
                </c:pt>
                <c:pt idx="61">
                  <c:v>-10100</c:v>
                </c:pt>
                <c:pt idx="62">
                  <c:v>-10200</c:v>
                </c:pt>
                <c:pt idx="63">
                  <c:v>-10300</c:v>
                </c:pt>
                <c:pt idx="64">
                  <c:v>-10400</c:v>
                </c:pt>
                <c:pt idx="65">
                  <c:v>-10500</c:v>
                </c:pt>
                <c:pt idx="66">
                  <c:v>-10600</c:v>
                </c:pt>
                <c:pt idx="67">
                  <c:v>-10700</c:v>
                </c:pt>
                <c:pt idx="68">
                  <c:v>-10800</c:v>
                </c:pt>
                <c:pt idx="69">
                  <c:v>-10900</c:v>
                </c:pt>
                <c:pt idx="70">
                  <c:v>-11000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4-4B02-A39F-4C5720465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99648"/>
        <c:axId val="1959900064"/>
      </c:scatterChart>
      <c:valAx>
        <c:axId val="1959899648"/>
        <c:scaling>
          <c:orientation val="minMax"/>
          <c:max val="12000"/>
          <c:min val="5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00064"/>
        <c:crosses val="autoZero"/>
        <c:crossBetween val="midCat"/>
      </c:valAx>
      <c:valAx>
        <c:axId val="19599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89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'40-180'!$G$6</c:f>
              <c:strCache>
                <c:ptCount val="1"/>
                <c:pt idx="0">
                  <c:v>Err(q)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'40-180'!$D$7:$D$77</c:f>
              <c:numCache>
                <c:formatCode>General</c:formatCode>
                <c:ptCount val="71"/>
                <c:pt idx="0">
                  <c:v>4000</c:v>
                </c:pt>
                <c:pt idx="1">
                  <c:v>4100</c:v>
                </c:pt>
                <c:pt idx="2">
                  <c:v>4200</c:v>
                </c:pt>
                <c:pt idx="3">
                  <c:v>4300</c:v>
                </c:pt>
                <c:pt idx="4">
                  <c:v>4400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5000</c:v>
                </c:pt>
                <c:pt idx="11">
                  <c:v>5100</c:v>
                </c:pt>
                <c:pt idx="12">
                  <c:v>5200</c:v>
                </c:pt>
                <c:pt idx="13">
                  <c:v>5300</c:v>
                </c:pt>
                <c:pt idx="14">
                  <c:v>5400</c:v>
                </c:pt>
                <c:pt idx="15">
                  <c:v>5500</c:v>
                </c:pt>
                <c:pt idx="16">
                  <c:v>5600</c:v>
                </c:pt>
                <c:pt idx="17">
                  <c:v>5700</c:v>
                </c:pt>
                <c:pt idx="18">
                  <c:v>5800</c:v>
                </c:pt>
                <c:pt idx="19">
                  <c:v>5900</c:v>
                </c:pt>
                <c:pt idx="20">
                  <c:v>6000</c:v>
                </c:pt>
                <c:pt idx="21">
                  <c:v>6100</c:v>
                </c:pt>
                <c:pt idx="22">
                  <c:v>6200</c:v>
                </c:pt>
                <c:pt idx="23">
                  <c:v>6300</c:v>
                </c:pt>
                <c:pt idx="24">
                  <c:v>6400</c:v>
                </c:pt>
                <c:pt idx="25">
                  <c:v>6500</c:v>
                </c:pt>
                <c:pt idx="26">
                  <c:v>6600</c:v>
                </c:pt>
                <c:pt idx="27">
                  <c:v>6700</c:v>
                </c:pt>
                <c:pt idx="28">
                  <c:v>6800</c:v>
                </c:pt>
                <c:pt idx="29">
                  <c:v>6900</c:v>
                </c:pt>
                <c:pt idx="30">
                  <c:v>7000</c:v>
                </c:pt>
                <c:pt idx="31">
                  <c:v>7100</c:v>
                </c:pt>
                <c:pt idx="32">
                  <c:v>7200</c:v>
                </c:pt>
                <c:pt idx="33">
                  <c:v>7300</c:v>
                </c:pt>
                <c:pt idx="34">
                  <c:v>7400</c:v>
                </c:pt>
                <c:pt idx="35">
                  <c:v>7500</c:v>
                </c:pt>
                <c:pt idx="36">
                  <c:v>7600</c:v>
                </c:pt>
                <c:pt idx="37">
                  <c:v>7700</c:v>
                </c:pt>
                <c:pt idx="38">
                  <c:v>7800</c:v>
                </c:pt>
                <c:pt idx="39">
                  <c:v>7900</c:v>
                </c:pt>
                <c:pt idx="40">
                  <c:v>8000</c:v>
                </c:pt>
                <c:pt idx="41">
                  <c:v>8100</c:v>
                </c:pt>
                <c:pt idx="42">
                  <c:v>8200</c:v>
                </c:pt>
                <c:pt idx="43">
                  <c:v>8300</c:v>
                </c:pt>
                <c:pt idx="44">
                  <c:v>8400</c:v>
                </c:pt>
                <c:pt idx="45">
                  <c:v>8500</c:v>
                </c:pt>
                <c:pt idx="46">
                  <c:v>8600</c:v>
                </c:pt>
                <c:pt idx="47">
                  <c:v>8700</c:v>
                </c:pt>
                <c:pt idx="48">
                  <c:v>8800</c:v>
                </c:pt>
                <c:pt idx="49">
                  <c:v>8900</c:v>
                </c:pt>
                <c:pt idx="50">
                  <c:v>9000</c:v>
                </c:pt>
                <c:pt idx="51">
                  <c:v>9100</c:v>
                </c:pt>
                <c:pt idx="52">
                  <c:v>9200</c:v>
                </c:pt>
                <c:pt idx="53">
                  <c:v>9300</c:v>
                </c:pt>
                <c:pt idx="54">
                  <c:v>9400</c:v>
                </c:pt>
                <c:pt idx="55">
                  <c:v>9500</c:v>
                </c:pt>
                <c:pt idx="56">
                  <c:v>9600</c:v>
                </c:pt>
                <c:pt idx="57">
                  <c:v>9700</c:v>
                </c:pt>
                <c:pt idx="58">
                  <c:v>9800</c:v>
                </c:pt>
                <c:pt idx="59">
                  <c:v>9900</c:v>
                </c:pt>
                <c:pt idx="60">
                  <c:v>10000</c:v>
                </c:pt>
                <c:pt idx="61">
                  <c:v>10100</c:v>
                </c:pt>
                <c:pt idx="62">
                  <c:v>10200</c:v>
                </c:pt>
                <c:pt idx="63">
                  <c:v>10300</c:v>
                </c:pt>
                <c:pt idx="64">
                  <c:v>10400</c:v>
                </c:pt>
                <c:pt idx="65">
                  <c:v>10500</c:v>
                </c:pt>
                <c:pt idx="66">
                  <c:v>10600</c:v>
                </c:pt>
                <c:pt idx="67">
                  <c:v>10700</c:v>
                </c:pt>
                <c:pt idx="68">
                  <c:v>10800</c:v>
                </c:pt>
                <c:pt idx="69">
                  <c:v>10900</c:v>
                </c:pt>
                <c:pt idx="70">
                  <c:v>11000</c:v>
                </c:pt>
              </c:numCache>
            </c:numRef>
          </c:cat>
          <c:val>
            <c:numRef>
              <c:f>'40-180'!$G$7:$G$77</c:f>
              <c:numCache>
                <c:formatCode>0.0</c:formatCode>
                <c:ptCount val="71"/>
                <c:pt idx="0">
                  <c:v>-1365.3</c:v>
                </c:pt>
                <c:pt idx="1">
                  <c:v>-1399.5</c:v>
                </c:pt>
                <c:pt idx="2">
                  <c:v>-1433.6</c:v>
                </c:pt>
                <c:pt idx="3">
                  <c:v>-1467.7</c:v>
                </c:pt>
                <c:pt idx="4">
                  <c:v>-1501.9</c:v>
                </c:pt>
                <c:pt idx="5">
                  <c:v>-1536</c:v>
                </c:pt>
                <c:pt idx="6">
                  <c:v>-1570.1</c:v>
                </c:pt>
                <c:pt idx="7">
                  <c:v>-1604.3</c:v>
                </c:pt>
                <c:pt idx="8">
                  <c:v>-1638.4</c:v>
                </c:pt>
                <c:pt idx="9">
                  <c:v>-1672.5</c:v>
                </c:pt>
                <c:pt idx="10">
                  <c:v>-1706.7</c:v>
                </c:pt>
                <c:pt idx="11">
                  <c:v>-1740.8</c:v>
                </c:pt>
                <c:pt idx="12">
                  <c:v>-1774.9</c:v>
                </c:pt>
                <c:pt idx="13">
                  <c:v>-1809.1</c:v>
                </c:pt>
                <c:pt idx="14">
                  <c:v>-1843.2</c:v>
                </c:pt>
                <c:pt idx="15">
                  <c:v>-1877.3</c:v>
                </c:pt>
                <c:pt idx="16">
                  <c:v>-1911.5</c:v>
                </c:pt>
                <c:pt idx="17">
                  <c:v>-1945.6</c:v>
                </c:pt>
                <c:pt idx="18">
                  <c:v>-1979.7</c:v>
                </c:pt>
                <c:pt idx="19">
                  <c:v>-2013.9</c:v>
                </c:pt>
                <c:pt idx="20">
                  <c:v>-2048</c:v>
                </c:pt>
                <c:pt idx="21">
                  <c:v>-2082.1</c:v>
                </c:pt>
                <c:pt idx="22">
                  <c:v>-2116.3000000000002</c:v>
                </c:pt>
                <c:pt idx="23">
                  <c:v>-2150.4</c:v>
                </c:pt>
                <c:pt idx="24">
                  <c:v>-2184.5</c:v>
                </c:pt>
                <c:pt idx="25">
                  <c:v>-2218.6999999999998</c:v>
                </c:pt>
                <c:pt idx="26">
                  <c:v>-2252.8000000000002</c:v>
                </c:pt>
                <c:pt idx="27">
                  <c:v>-2286.9</c:v>
                </c:pt>
                <c:pt idx="28">
                  <c:v>-2321.1</c:v>
                </c:pt>
                <c:pt idx="29">
                  <c:v>-2355.1999999999998</c:v>
                </c:pt>
                <c:pt idx="30">
                  <c:v>-2389.3000000000002</c:v>
                </c:pt>
                <c:pt idx="31">
                  <c:v>-2423.5</c:v>
                </c:pt>
                <c:pt idx="32">
                  <c:v>-2457.6</c:v>
                </c:pt>
                <c:pt idx="33">
                  <c:v>-2491.6999999999998</c:v>
                </c:pt>
                <c:pt idx="34">
                  <c:v>-2525.9</c:v>
                </c:pt>
                <c:pt idx="35">
                  <c:v>-2560</c:v>
                </c:pt>
                <c:pt idx="36">
                  <c:v>-2594.1</c:v>
                </c:pt>
                <c:pt idx="37">
                  <c:v>-2628.3</c:v>
                </c:pt>
                <c:pt idx="38">
                  <c:v>-2662.4</c:v>
                </c:pt>
                <c:pt idx="39">
                  <c:v>-2696.5</c:v>
                </c:pt>
                <c:pt idx="40">
                  <c:v>-2730.7</c:v>
                </c:pt>
                <c:pt idx="41">
                  <c:v>-2764.8</c:v>
                </c:pt>
                <c:pt idx="42">
                  <c:v>-2798.9</c:v>
                </c:pt>
                <c:pt idx="43">
                  <c:v>-2833.1</c:v>
                </c:pt>
                <c:pt idx="44">
                  <c:v>-2867.2</c:v>
                </c:pt>
                <c:pt idx="45">
                  <c:v>-2901.3</c:v>
                </c:pt>
                <c:pt idx="46">
                  <c:v>-2935.5</c:v>
                </c:pt>
                <c:pt idx="47">
                  <c:v>-2969.6</c:v>
                </c:pt>
                <c:pt idx="48">
                  <c:v>-3003.7</c:v>
                </c:pt>
                <c:pt idx="49">
                  <c:v>-3037.9</c:v>
                </c:pt>
                <c:pt idx="50">
                  <c:v>-3072</c:v>
                </c:pt>
                <c:pt idx="51">
                  <c:v>-3106.1</c:v>
                </c:pt>
                <c:pt idx="52">
                  <c:v>-3140.3</c:v>
                </c:pt>
                <c:pt idx="53">
                  <c:v>-3174.4</c:v>
                </c:pt>
                <c:pt idx="54">
                  <c:v>-3208.5</c:v>
                </c:pt>
                <c:pt idx="55">
                  <c:v>-3242.7</c:v>
                </c:pt>
                <c:pt idx="56">
                  <c:v>-3276.8</c:v>
                </c:pt>
                <c:pt idx="57">
                  <c:v>-3310.9</c:v>
                </c:pt>
                <c:pt idx="58">
                  <c:v>-3345.1</c:v>
                </c:pt>
                <c:pt idx="59">
                  <c:v>-3379.2</c:v>
                </c:pt>
                <c:pt idx="60">
                  <c:v>-3413.3</c:v>
                </c:pt>
                <c:pt idx="61">
                  <c:v>-3447.5</c:v>
                </c:pt>
                <c:pt idx="62">
                  <c:v>-3481.6</c:v>
                </c:pt>
                <c:pt idx="63">
                  <c:v>-3515.7</c:v>
                </c:pt>
                <c:pt idx="64">
                  <c:v>-3549.9</c:v>
                </c:pt>
                <c:pt idx="65">
                  <c:v>-3584</c:v>
                </c:pt>
                <c:pt idx="66">
                  <c:v>-3618.1</c:v>
                </c:pt>
                <c:pt idx="67">
                  <c:v>-3652.3</c:v>
                </c:pt>
                <c:pt idx="68">
                  <c:v>-3686.4</c:v>
                </c:pt>
                <c:pt idx="69">
                  <c:v>-3720.5</c:v>
                </c:pt>
                <c:pt idx="70">
                  <c:v>-3754.7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5-41A8-9BE0-C146EF8D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12608"/>
        <c:axId val="1955616352"/>
      </c:lineChart>
      <c:catAx>
        <c:axId val="19556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6352"/>
        <c:crosses val="autoZero"/>
        <c:auto val="1"/>
        <c:lblAlgn val="ctr"/>
        <c:lblOffset val="100"/>
        <c:noMultiLvlLbl val="0"/>
      </c:catAx>
      <c:valAx>
        <c:axId val="19556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5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5</xdr:row>
      <xdr:rowOff>0</xdr:rowOff>
    </xdr:from>
    <xdr:to>
      <xdr:col>17</xdr:col>
      <xdr:colOff>742950</xdr:colOff>
      <xdr:row>27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9C5E12-FE66-F572-A18B-E93F3A1E5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80961</xdr:colOff>
      <xdr:row>27</xdr:row>
      <xdr:rowOff>76200</xdr:rowOff>
    </xdr:from>
    <xdr:to>
      <xdr:col>18</xdr:col>
      <xdr:colOff>9524</xdr:colOff>
      <xdr:row>45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17A0BD-A7BD-4850-CB6A-79F6A9FD6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5</xdr:row>
      <xdr:rowOff>0</xdr:rowOff>
    </xdr:from>
    <xdr:to>
      <xdr:col>18</xdr:col>
      <xdr:colOff>47625</xdr:colOff>
      <xdr:row>27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12382D-73D6-4E26-88FF-71851DB4F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27</xdr:row>
      <xdr:rowOff>38100</xdr:rowOff>
    </xdr:from>
    <xdr:to>
      <xdr:col>18</xdr:col>
      <xdr:colOff>0</xdr:colOff>
      <xdr:row>43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1D2DB9-0F34-0E65-324E-33E2249CC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</xdr:colOff>
      <xdr:row>43</xdr:row>
      <xdr:rowOff>180975</xdr:rowOff>
    </xdr:from>
    <xdr:to>
      <xdr:col>18</xdr:col>
      <xdr:colOff>0</xdr:colOff>
      <xdr:row>58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C18C0D-A29E-BDD0-B30B-4E90AF47F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5</xdr:row>
      <xdr:rowOff>0</xdr:rowOff>
    </xdr:from>
    <xdr:to>
      <xdr:col>18</xdr:col>
      <xdr:colOff>47625</xdr:colOff>
      <xdr:row>27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070936-3049-4988-88E0-38EF7B07F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27</xdr:row>
      <xdr:rowOff>38100</xdr:rowOff>
    </xdr:from>
    <xdr:to>
      <xdr:col>18</xdr:col>
      <xdr:colOff>0</xdr:colOff>
      <xdr:row>43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36CB4A-FCEC-45FE-B7B3-96DC29816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</xdr:colOff>
      <xdr:row>43</xdr:row>
      <xdr:rowOff>180975</xdr:rowOff>
    </xdr:from>
    <xdr:to>
      <xdr:col>18</xdr:col>
      <xdr:colOff>0</xdr:colOff>
      <xdr:row>58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849472-E3EE-4514-B898-A1EFE8466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5</xdr:row>
      <xdr:rowOff>0</xdr:rowOff>
    </xdr:from>
    <xdr:to>
      <xdr:col>18</xdr:col>
      <xdr:colOff>47625</xdr:colOff>
      <xdr:row>27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2783B1-CCB0-415D-9C16-4D9842F1E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27</xdr:row>
      <xdr:rowOff>38100</xdr:rowOff>
    </xdr:from>
    <xdr:to>
      <xdr:col>18</xdr:col>
      <xdr:colOff>0</xdr:colOff>
      <xdr:row>43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EA11A7-6302-4DA4-A63F-C4B263F12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</xdr:colOff>
      <xdr:row>43</xdr:row>
      <xdr:rowOff>180975</xdr:rowOff>
    </xdr:from>
    <xdr:to>
      <xdr:col>18</xdr:col>
      <xdr:colOff>0</xdr:colOff>
      <xdr:row>58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923761-1759-4856-AE40-4BDDC2F4E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5</xdr:row>
      <xdr:rowOff>0</xdr:rowOff>
    </xdr:from>
    <xdr:to>
      <xdr:col>18</xdr:col>
      <xdr:colOff>47625</xdr:colOff>
      <xdr:row>27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6AA879-2CC7-45C4-880A-23AB7E89C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27</xdr:row>
      <xdr:rowOff>38100</xdr:rowOff>
    </xdr:from>
    <xdr:to>
      <xdr:col>18</xdr:col>
      <xdr:colOff>0</xdr:colOff>
      <xdr:row>43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3B60B9-25C8-4A33-B897-63DBAF48C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</xdr:colOff>
      <xdr:row>43</xdr:row>
      <xdr:rowOff>180975</xdr:rowOff>
    </xdr:from>
    <xdr:to>
      <xdr:col>18</xdr:col>
      <xdr:colOff>0</xdr:colOff>
      <xdr:row>58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A4C0B8-B3D5-4E88-94A4-AB391C42F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5</xdr:row>
      <xdr:rowOff>0</xdr:rowOff>
    </xdr:from>
    <xdr:to>
      <xdr:col>18</xdr:col>
      <xdr:colOff>47625</xdr:colOff>
      <xdr:row>27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953A79-1F6C-4CFB-8932-A852353EC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27</xdr:row>
      <xdr:rowOff>38100</xdr:rowOff>
    </xdr:from>
    <xdr:to>
      <xdr:col>18</xdr:col>
      <xdr:colOff>0</xdr:colOff>
      <xdr:row>43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24284C-3965-4DD9-8CAB-2F78ECA45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</xdr:colOff>
      <xdr:row>43</xdr:row>
      <xdr:rowOff>180975</xdr:rowOff>
    </xdr:from>
    <xdr:to>
      <xdr:col>18</xdr:col>
      <xdr:colOff>0</xdr:colOff>
      <xdr:row>58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4035FD-19DC-445C-8E1E-967CA4A20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18FD-19CE-4D10-BAEF-F7A4E8AC3422}">
  <dimension ref="A1:F77"/>
  <sheetViews>
    <sheetView zoomScale="85" zoomScaleNormal="85" workbookViewId="0">
      <selection activeCell="E27" sqref="E27"/>
    </sheetView>
  </sheetViews>
  <sheetFormatPr baseColWidth="10" defaultRowHeight="15" x14ac:dyDescent="0.25"/>
  <cols>
    <col min="1" max="1" width="14.28515625" bestFit="1" customWidth="1"/>
    <col min="3" max="3" width="11.5703125" customWidth="1"/>
    <col min="4" max="4" width="12.42578125" customWidth="1"/>
    <col min="5" max="5" width="14.7109375" customWidth="1"/>
    <col min="6" max="6" width="15.7109375" customWidth="1"/>
  </cols>
  <sheetData>
    <row r="1" spans="1:6" x14ac:dyDescent="0.25">
      <c r="A1" t="s">
        <v>8</v>
      </c>
      <c r="B1">
        <v>120</v>
      </c>
      <c r="D1" t="s">
        <v>2</v>
      </c>
      <c r="E1">
        <v>3000</v>
      </c>
      <c r="F1" t="s">
        <v>3</v>
      </c>
    </row>
    <row r="2" spans="1:6" x14ac:dyDescent="0.25">
      <c r="A2" t="s">
        <v>9</v>
      </c>
      <c r="B2">
        <v>50</v>
      </c>
      <c r="D2" t="s">
        <v>1</v>
      </c>
      <c r="E2">
        <v>1024</v>
      </c>
      <c r="F2" t="s">
        <v>4</v>
      </c>
    </row>
    <row r="3" spans="1:6" x14ac:dyDescent="0.25">
      <c r="A3" t="s">
        <v>10</v>
      </c>
      <c r="B3">
        <v>120</v>
      </c>
      <c r="C3" t="s">
        <v>12</v>
      </c>
      <c r="D3" t="s">
        <v>6</v>
      </c>
      <c r="E3">
        <f>ROUND(B3*E2/E1,0)</f>
        <v>41</v>
      </c>
    </row>
    <row r="4" spans="1:6" x14ac:dyDescent="0.25">
      <c r="A4" t="s">
        <v>11</v>
      </c>
      <c r="B4">
        <v>1420</v>
      </c>
      <c r="C4" t="s">
        <v>12</v>
      </c>
      <c r="D4" t="s">
        <v>5</v>
      </c>
      <c r="E4">
        <f>ROUND( B4*E2/E1,0)</f>
        <v>485</v>
      </c>
    </row>
    <row r="6" spans="1:6" s="1" customFormat="1" ht="30" x14ac:dyDescent="0.25">
      <c r="A6" s="1" t="s">
        <v>7</v>
      </c>
      <c r="B6" s="2" t="s">
        <v>0</v>
      </c>
      <c r="C6" s="2" t="s">
        <v>13</v>
      </c>
      <c r="D6" s="2" t="s">
        <v>14</v>
      </c>
      <c r="E6" s="2" t="s">
        <v>15</v>
      </c>
      <c r="F6" s="2" t="s">
        <v>16</v>
      </c>
    </row>
    <row r="7" spans="1:6" x14ac:dyDescent="0.25">
      <c r="A7" s="6">
        <v>50</v>
      </c>
      <c r="B7" s="6">
        <f t="shared" ref="B7:B38" si="0">ROUND($E$4-(((A7-$B$2)*($E$4-$E$3))/($B$1-$B$2)),0)</f>
        <v>485</v>
      </c>
      <c r="C7" s="7">
        <f>B7*$E$1/$E$2</f>
        <v>1420.8984375</v>
      </c>
      <c r="D7" s="6">
        <v>5000</v>
      </c>
      <c r="E7" s="6">
        <v>5092</v>
      </c>
      <c r="F7" s="6">
        <f>E7-D7</f>
        <v>92</v>
      </c>
    </row>
    <row r="8" spans="1:6" x14ac:dyDescent="0.25">
      <c r="A8">
        <v>51</v>
      </c>
      <c r="B8">
        <f t="shared" si="0"/>
        <v>479</v>
      </c>
      <c r="C8" s="5">
        <f>B8*$E$1/$E$2</f>
        <v>1403.3203125</v>
      </c>
      <c r="D8">
        <v>5100</v>
      </c>
      <c r="E8">
        <v>5190</v>
      </c>
      <c r="F8">
        <f t="shared" ref="F8:F71" si="1">E8-D8</f>
        <v>90</v>
      </c>
    </row>
    <row r="9" spans="1:6" x14ac:dyDescent="0.25">
      <c r="A9">
        <v>52</v>
      </c>
      <c r="B9">
        <f t="shared" si="0"/>
        <v>472</v>
      </c>
      <c r="C9" s="5">
        <f t="shared" ref="C9:C72" si="2">B9*$E$1/$E$2</f>
        <v>1382.8125</v>
      </c>
      <c r="D9">
        <v>5200</v>
      </c>
      <c r="E9">
        <v>5283</v>
      </c>
      <c r="F9">
        <f t="shared" si="1"/>
        <v>83</v>
      </c>
    </row>
    <row r="10" spans="1:6" x14ac:dyDescent="0.25">
      <c r="A10">
        <v>53</v>
      </c>
      <c r="B10">
        <f t="shared" si="0"/>
        <v>466</v>
      </c>
      <c r="C10" s="5">
        <f t="shared" si="2"/>
        <v>1365.234375</v>
      </c>
      <c r="D10">
        <v>5300</v>
      </c>
      <c r="E10">
        <v>5393</v>
      </c>
      <c r="F10">
        <f t="shared" si="1"/>
        <v>93</v>
      </c>
    </row>
    <row r="11" spans="1:6" x14ac:dyDescent="0.25">
      <c r="A11">
        <v>54</v>
      </c>
      <c r="B11">
        <f t="shared" si="0"/>
        <v>460</v>
      </c>
      <c r="C11" s="5">
        <f t="shared" si="2"/>
        <v>1347.65625</v>
      </c>
      <c r="D11">
        <v>5400</v>
      </c>
      <c r="E11">
        <v>5488</v>
      </c>
      <c r="F11">
        <f t="shared" si="1"/>
        <v>88</v>
      </c>
    </row>
    <row r="12" spans="1:6" x14ac:dyDescent="0.25">
      <c r="A12">
        <v>55</v>
      </c>
      <c r="B12">
        <f t="shared" si="0"/>
        <v>453</v>
      </c>
      <c r="C12" s="5">
        <f t="shared" si="2"/>
        <v>1327.1484375</v>
      </c>
      <c r="D12">
        <v>5500</v>
      </c>
      <c r="E12">
        <v>5582</v>
      </c>
      <c r="F12">
        <f t="shared" si="1"/>
        <v>82</v>
      </c>
    </row>
    <row r="13" spans="1:6" x14ac:dyDescent="0.25">
      <c r="A13">
        <v>56</v>
      </c>
      <c r="B13">
        <f t="shared" si="0"/>
        <v>447</v>
      </c>
      <c r="C13" s="5">
        <f t="shared" si="2"/>
        <v>1309.5703125</v>
      </c>
      <c r="D13">
        <v>5600</v>
      </c>
      <c r="E13">
        <v>5694</v>
      </c>
      <c r="F13">
        <f t="shared" si="1"/>
        <v>94</v>
      </c>
    </row>
    <row r="14" spans="1:6" x14ac:dyDescent="0.25">
      <c r="A14">
        <v>57</v>
      </c>
      <c r="B14">
        <f t="shared" si="0"/>
        <v>441</v>
      </c>
      <c r="C14" s="5">
        <f t="shared" si="2"/>
        <v>1291.9921875</v>
      </c>
      <c r="D14">
        <v>5700</v>
      </c>
      <c r="E14">
        <v>5788</v>
      </c>
      <c r="F14">
        <f t="shared" si="1"/>
        <v>88</v>
      </c>
    </row>
    <row r="15" spans="1:6" x14ac:dyDescent="0.25">
      <c r="A15">
        <v>58</v>
      </c>
      <c r="B15">
        <f t="shared" si="0"/>
        <v>434</v>
      </c>
      <c r="C15" s="5">
        <f t="shared" si="2"/>
        <v>1271.484375</v>
      </c>
      <c r="D15">
        <v>5800</v>
      </c>
      <c r="E15">
        <v>5882</v>
      </c>
      <c r="F15">
        <f t="shared" si="1"/>
        <v>82</v>
      </c>
    </row>
    <row r="16" spans="1:6" x14ac:dyDescent="0.25">
      <c r="A16">
        <v>59</v>
      </c>
      <c r="B16">
        <f t="shared" si="0"/>
        <v>428</v>
      </c>
      <c r="C16" s="5">
        <f t="shared" si="2"/>
        <v>1253.90625</v>
      </c>
      <c r="D16">
        <v>5900</v>
      </c>
      <c r="E16">
        <v>5995</v>
      </c>
      <c r="F16">
        <f t="shared" si="1"/>
        <v>95</v>
      </c>
    </row>
    <row r="17" spans="1:6" x14ac:dyDescent="0.25">
      <c r="A17" s="6">
        <v>60</v>
      </c>
      <c r="B17" s="6">
        <f t="shared" si="0"/>
        <v>422</v>
      </c>
      <c r="C17" s="7">
        <f t="shared" si="2"/>
        <v>1236.328125</v>
      </c>
      <c r="D17" s="6">
        <v>6000</v>
      </c>
      <c r="E17" s="6">
        <v>6088</v>
      </c>
      <c r="F17" s="6">
        <f t="shared" si="1"/>
        <v>88</v>
      </c>
    </row>
    <row r="18" spans="1:6" x14ac:dyDescent="0.25">
      <c r="A18">
        <v>61</v>
      </c>
      <c r="B18">
        <f t="shared" si="0"/>
        <v>415</v>
      </c>
      <c r="C18" s="5">
        <f t="shared" si="2"/>
        <v>1215.8203125</v>
      </c>
      <c r="D18">
        <v>6100</v>
      </c>
      <c r="E18">
        <v>6184</v>
      </c>
      <c r="F18">
        <f t="shared" si="1"/>
        <v>84</v>
      </c>
    </row>
    <row r="19" spans="1:6" x14ac:dyDescent="0.25">
      <c r="A19">
        <v>62</v>
      </c>
      <c r="B19">
        <f t="shared" si="0"/>
        <v>409</v>
      </c>
      <c r="C19" s="5">
        <f t="shared" si="2"/>
        <v>1198.2421875</v>
      </c>
      <c r="D19">
        <v>6200</v>
      </c>
      <c r="E19">
        <v>6294</v>
      </c>
      <c r="F19">
        <f t="shared" si="1"/>
        <v>94</v>
      </c>
    </row>
    <row r="20" spans="1:6" x14ac:dyDescent="0.25">
      <c r="A20">
        <v>63</v>
      </c>
      <c r="B20">
        <f t="shared" si="0"/>
        <v>403</v>
      </c>
      <c r="C20" s="5">
        <f t="shared" si="2"/>
        <v>1180.6640625</v>
      </c>
      <c r="D20">
        <v>6300</v>
      </c>
      <c r="E20">
        <v>6388</v>
      </c>
      <c r="F20">
        <f t="shared" si="1"/>
        <v>88</v>
      </c>
    </row>
    <row r="21" spans="1:6" x14ac:dyDescent="0.25">
      <c r="A21">
        <v>64</v>
      </c>
      <c r="B21">
        <f t="shared" si="0"/>
        <v>396</v>
      </c>
      <c r="C21" s="5">
        <f t="shared" si="2"/>
        <v>1160.15625</v>
      </c>
      <c r="D21">
        <v>6400</v>
      </c>
      <c r="E21">
        <v>6483</v>
      </c>
      <c r="F21">
        <f t="shared" si="1"/>
        <v>83</v>
      </c>
    </row>
    <row r="22" spans="1:6" x14ac:dyDescent="0.25">
      <c r="A22">
        <v>65</v>
      </c>
      <c r="B22">
        <f t="shared" si="0"/>
        <v>390</v>
      </c>
      <c r="C22" s="5">
        <f t="shared" si="2"/>
        <v>1142.578125</v>
      </c>
      <c r="D22">
        <v>6500</v>
      </c>
      <c r="E22">
        <v>6594</v>
      </c>
      <c r="F22">
        <f t="shared" si="1"/>
        <v>94</v>
      </c>
    </row>
    <row r="23" spans="1:6" x14ac:dyDescent="0.25">
      <c r="A23">
        <v>66</v>
      </c>
      <c r="B23">
        <f t="shared" si="0"/>
        <v>384</v>
      </c>
      <c r="C23" s="5">
        <f t="shared" si="2"/>
        <v>1125</v>
      </c>
      <c r="D23">
        <v>6600</v>
      </c>
      <c r="E23">
        <v>6689</v>
      </c>
      <c r="F23">
        <f t="shared" si="1"/>
        <v>89</v>
      </c>
    </row>
    <row r="24" spans="1:6" x14ac:dyDescent="0.25">
      <c r="A24">
        <v>67</v>
      </c>
      <c r="B24">
        <f t="shared" si="0"/>
        <v>377</v>
      </c>
      <c r="C24" s="5">
        <f t="shared" si="2"/>
        <v>1104.4921875</v>
      </c>
      <c r="D24">
        <v>6700</v>
      </c>
      <c r="E24">
        <v>6783</v>
      </c>
      <c r="F24">
        <f t="shared" si="1"/>
        <v>83</v>
      </c>
    </row>
    <row r="25" spans="1:6" x14ac:dyDescent="0.25">
      <c r="A25">
        <v>68</v>
      </c>
      <c r="B25">
        <f t="shared" si="0"/>
        <v>371</v>
      </c>
      <c r="C25" s="5">
        <f t="shared" si="2"/>
        <v>1086.9140625</v>
      </c>
      <c r="D25">
        <v>6800</v>
      </c>
      <c r="E25">
        <v>6894</v>
      </c>
      <c r="F25">
        <f t="shared" si="1"/>
        <v>94</v>
      </c>
    </row>
    <row r="26" spans="1:6" x14ac:dyDescent="0.25">
      <c r="A26">
        <v>69</v>
      </c>
      <c r="B26">
        <f t="shared" si="0"/>
        <v>364</v>
      </c>
      <c r="C26" s="5">
        <f t="shared" si="2"/>
        <v>1066.40625</v>
      </c>
      <c r="D26">
        <v>6900</v>
      </c>
      <c r="E26">
        <v>6989</v>
      </c>
      <c r="F26">
        <f t="shared" si="1"/>
        <v>89</v>
      </c>
    </row>
    <row r="27" spans="1:6" x14ac:dyDescent="0.25">
      <c r="A27" s="6">
        <v>70</v>
      </c>
      <c r="B27" s="6">
        <f t="shared" si="0"/>
        <v>358</v>
      </c>
      <c r="C27" s="7">
        <f t="shared" si="2"/>
        <v>1048.828125</v>
      </c>
      <c r="D27" s="6">
        <v>7000</v>
      </c>
      <c r="E27" s="6">
        <v>7085</v>
      </c>
      <c r="F27" s="6">
        <f t="shared" si="1"/>
        <v>85</v>
      </c>
    </row>
    <row r="28" spans="1:6" x14ac:dyDescent="0.25">
      <c r="A28">
        <v>71</v>
      </c>
      <c r="B28">
        <f t="shared" si="0"/>
        <v>352</v>
      </c>
      <c r="C28" s="5">
        <f t="shared" si="2"/>
        <v>1031.25</v>
      </c>
      <c r="D28">
        <v>7100</v>
      </c>
      <c r="E28">
        <v>7197</v>
      </c>
      <c r="F28">
        <f t="shared" si="1"/>
        <v>97</v>
      </c>
    </row>
    <row r="29" spans="1:6" x14ac:dyDescent="0.25">
      <c r="A29">
        <v>72</v>
      </c>
      <c r="B29">
        <f t="shared" si="0"/>
        <v>345</v>
      </c>
      <c r="C29" s="5">
        <f t="shared" si="2"/>
        <v>1010.7421875</v>
      </c>
      <c r="D29">
        <v>7200</v>
      </c>
      <c r="E29">
        <v>7291</v>
      </c>
      <c r="F29">
        <f t="shared" si="1"/>
        <v>91</v>
      </c>
    </row>
    <row r="30" spans="1:6" x14ac:dyDescent="0.25">
      <c r="A30">
        <v>73</v>
      </c>
      <c r="B30">
        <f t="shared" si="0"/>
        <v>339</v>
      </c>
      <c r="C30" s="5">
        <f t="shared" si="2"/>
        <v>993.1640625</v>
      </c>
      <c r="D30">
        <v>7300</v>
      </c>
      <c r="E30">
        <v>7387</v>
      </c>
      <c r="F30">
        <f t="shared" si="1"/>
        <v>87</v>
      </c>
    </row>
    <row r="31" spans="1:6" x14ac:dyDescent="0.25">
      <c r="A31">
        <v>74</v>
      </c>
      <c r="B31">
        <f t="shared" si="0"/>
        <v>333</v>
      </c>
      <c r="C31" s="5">
        <f t="shared" si="2"/>
        <v>975.5859375</v>
      </c>
      <c r="D31">
        <v>7400</v>
      </c>
      <c r="E31">
        <v>7499</v>
      </c>
      <c r="F31">
        <f t="shared" si="1"/>
        <v>99</v>
      </c>
    </row>
    <row r="32" spans="1:6" x14ac:dyDescent="0.25">
      <c r="A32">
        <v>75</v>
      </c>
      <c r="B32">
        <f t="shared" si="0"/>
        <v>326</v>
      </c>
      <c r="C32" s="5">
        <f t="shared" si="2"/>
        <v>955.078125</v>
      </c>
      <c r="D32">
        <v>7500</v>
      </c>
      <c r="E32">
        <v>7592</v>
      </c>
      <c r="F32">
        <f t="shared" si="1"/>
        <v>92</v>
      </c>
    </row>
    <row r="33" spans="1:6" x14ac:dyDescent="0.25">
      <c r="A33">
        <v>76</v>
      </c>
      <c r="B33">
        <f t="shared" si="0"/>
        <v>320</v>
      </c>
      <c r="C33" s="5">
        <f t="shared" si="2"/>
        <v>937.5</v>
      </c>
      <c r="D33">
        <v>7600</v>
      </c>
      <c r="E33">
        <v>7687</v>
      </c>
      <c r="F33">
        <f t="shared" si="1"/>
        <v>87</v>
      </c>
    </row>
    <row r="34" spans="1:6" x14ac:dyDescent="0.25">
      <c r="A34">
        <v>77</v>
      </c>
      <c r="B34">
        <f t="shared" si="0"/>
        <v>314</v>
      </c>
      <c r="C34" s="5">
        <f t="shared" si="2"/>
        <v>919.921875</v>
      </c>
      <c r="D34">
        <v>7700</v>
      </c>
      <c r="E34">
        <v>7799</v>
      </c>
      <c r="F34">
        <f t="shared" si="1"/>
        <v>99</v>
      </c>
    </row>
    <row r="35" spans="1:6" x14ac:dyDescent="0.25">
      <c r="A35">
        <v>78</v>
      </c>
      <c r="B35">
        <f t="shared" si="0"/>
        <v>307</v>
      </c>
      <c r="C35" s="5">
        <f t="shared" si="2"/>
        <v>899.4140625</v>
      </c>
      <c r="D35">
        <v>7800</v>
      </c>
      <c r="E35">
        <v>7893</v>
      </c>
      <c r="F35">
        <f t="shared" si="1"/>
        <v>93</v>
      </c>
    </row>
    <row r="36" spans="1:6" x14ac:dyDescent="0.25">
      <c r="A36">
        <v>79</v>
      </c>
      <c r="B36">
        <f t="shared" si="0"/>
        <v>301</v>
      </c>
      <c r="C36" s="5">
        <f t="shared" si="2"/>
        <v>881.8359375</v>
      </c>
      <c r="D36">
        <v>7900</v>
      </c>
      <c r="E36">
        <v>7989</v>
      </c>
      <c r="F36">
        <f t="shared" si="1"/>
        <v>89</v>
      </c>
    </row>
    <row r="37" spans="1:6" x14ac:dyDescent="0.25">
      <c r="A37" s="6">
        <v>80</v>
      </c>
      <c r="B37" s="6">
        <f t="shared" si="0"/>
        <v>295</v>
      </c>
      <c r="C37" s="7">
        <f t="shared" si="2"/>
        <v>864.2578125</v>
      </c>
      <c r="D37" s="6">
        <v>8000</v>
      </c>
      <c r="E37" s="6">
        <v>8099</v>
      </c>
      <c r="F37" s="6">
        <f t="shared" si="1"/>
        <v>99</v>
      </c>
    </row>
    <row r="38" spans="1:6" x14ac:dyDescent="0.25">
      <c r="A38">
        <v>81</v>
      </c>
      <c r="B38">
        <f t="shared" si="0"/>
        <v>288</v>
      </c>
      <c r="C38" s="5">
        <f t="shared" si="2"/>
        <v>843.75</v>
      </c>
      <c r="D38">
        <v>8100</v>
      </c>
      <c r="E38">
        <v>8194</v>
      </c>
      <c r="F38">
        <f t="shared" si="1"/>
        <v>94</v>
      </c>
    </row>
    <row r="39" spans="1:6" x14ac:dyDescent="0.25">
      <c r="A39">
        <v>82</v>
      </c>
      <c r="B39">
        <f t="shared" ref="B39:B70" si="3">ROUND($E$4-(((A39-$B$2)*($E$4-$E$3))/($B$1-$B$2)),0)</f>
        <v>282</v>
      </c>
      <c r="C39" s="5">
        <f t="shared" si="2"/>
        <v>826.171875</v>
      </c>
      <c r="D39">
        <v>8200</v>
      </c>
      <c r="E39">
        <v>8290</v>
      </c>
      <c r="F39">
        <f t="shared" si="1"/>
        <v>90</v>
      </c>
    </row>
    <row r="40" spans="1:6" x14ac:dyDescent="0.25">
      <c r="A40">
        <v>83</v>
      </c>
      <c r="B40">
        <f t="shared" si="3"/>
        <v>276</v>
      </c>
      <c r="C40" s="5">
        <f t="shared" si="2"/>
        <v>808.59375</v>
      </c>
      <c r="D40">
        <v>8300</v>
      </c>
      <c r="E40">
        <v>8401</v>
      </c>
      <c r="F40">
        <f t="shared" si="1"/>
        <v>101</v>
      </c>
    </row>
    <row r="41" spans="1:6" x14ac:dyDescent="0.25">
      <c r="A41">
        <v>84</v>
      </c>
      <c r="B41">
        <f t="shared" si="3"/>
        <v>269</v>
      </c>
      <c r="C41" s="5">
        <f t="shared" si="2"/>
        <v>788.0859375</v>
      </c>
      <c r="D41">
        <v>8400</v>
      </c>
      <c r="E41">
        <v>8499</v>
      </c>
      <c r="F41">
        <f t="shared" si="1"/>
        <v>99</v>
      </c>
    </row>
    <row r="42" spans="1:6" x14ac:dyDescent="0.25">
      <c r="A42">
        <v>85</v>
      </c>
      <c r="B42">
        <f t="shared" si="3"/>
        <v>263</v>
      </c>
      <c r="C42" s="5">
        <f t="shared" si="2"/>
        <v>770.5078125</v>
      </c>
      <c r="D42">
        <v>8500</v>
      </c>
      <c r="E42">
        <v>8609</v>
      </c>
      <c r="F42">
        <f t="shared" si="1"/>
        <v>109</v>
      </c>
    </row>
    <row r="43" spans="1:6" x14ac:dyDescent="0.25">
      <c r="A43">
        <v>86</v>
      </c>
      <c r="B43">
        <f t="shared" si="3"/>
        <v>257</v>
      </c>
      <c r="C43" s="5">
        <f t="shared" si="2"/>
        <v>752.9296875</v>
      </c>
      <c r="D43">
        <v>8600</v>
      </c>
      <c r="E43">
        <v>8703</v>
      </c>
      <c r="F43">
        <f t="shared" si="1"/>
        <v>103</v>
      </c>
    </row>
    <row r="44" spans="1:6" x14ac:dyDescent="0.25">
      <c r="A44">
        <v>87</v>
      </c>
      <c r="B44">
        <f t="shared" si="3"/>
        <v>250</v>
      </c>
      <c r="C44" s="5">
        <f t="shared" si="2"/>
        <v>732.421875</v>
      </c>
      <c r="D44">
        <v>8700</v>
      </c>
      <c r="E44">
        <v>8799</v>
      </c>
      <c r="F44">
        <f t="shared" si="1"/>
        <v>99</v>
      </c>
    </row>
    <row r="45" spans="1:6" x14ac:dyDescent="0.25">
      <c r="A45">
        <v>88</v>
      </c>
      <c r="B45">
        <f t="shared" si="3"/>
        <v>244</v>
      </c>
      <c r="C45" s="5">
        <f t="shared" si="2"/>
        <v>714.84375</v>
      </c>
      <c r="D45">
        <v>8800</v>
      </c>
      <c r="E45">
        <v>8909</v>
      </c>
      <c r="F45">
        <f t="shared" si="1"/>
        <v>109</v>
      </c>
    </row>
    <row r="46" spans="1:6" x14ac:dyDescent="0.25">
      <c r="A46">
        <v>89</v>
      </c>
      <c r="B46">
        <f t="shared" si="3"/>
        <v>238</v>
      </c>
      <c r="C46" s="5">
        <f t="shared" si="2"/>
        <v>697.265625</v>
      </c>
      <c r="D46">
        <v>8900</v>
      </c>
      <c r="E46">
        <v>9005</v>
      </c>
      <c r="F46">
        <f t="shared" si="1"/>
        <v>105</v>
      </c>
    </row>
    <row r="47" spans="1:6" x14ac:dyDescent="0.25">
      <c r="A47" s="6">
        <v>90</v>
      </c>
      <c r="B47" s="6">
        <f t="shared" si="3"/>
        <v>231</v>
      </c>
      <c r="C47" s="7">
        <f t="shared" si="2"/>
        <v>676.7578125</v>
      </c>
      <c r="D47" s="6">
        <v>9000</v>
      </c>
      <c r="E47" s="6">
        <v>9100</v>
      </c>
      <c r="F47" s="6">
        <f t="shared" si="1"/>
        <v>100</v>
      </c>
    </row>
    <row r="48" spans="1:6" x14ac:dyDescent="0.25">
      <c r="A48">
        <v>91</v>
      </c>
      <c r="B48">
        <f t="shared" si="3"/>
        <v>225</v>
      </c>
      <c r="C48" s="5">
        <f t="shared" si="2"/>
        <v>659.1796875</v>
      </c>
      <c r="D48">
        <v>9100</v>
      </c>
      <c r="E48">
        <v>9211</v>
      </c>
      <c r="F48">
        <f t="shared" si="1"/>
        <v>111</v>
      </c>
    </row>
    <row r="49" spans="1:6" x14ac:dyDescent="0.25">
      <c r="A49">
        <v>92</v>
      </c>
      <c r="B49">
        <f t="shared" si="3"/>
        <v>219</v>
      </c>
      <c r="C49" s="5">
        <f t="shared" si="2"/>
        <v>641.6015625</v>
      </c>
      <c r="D49">
        <v>9200</v>
      </c>
      <c r="E49">
        <v>9306</v>
      </c>
      <c r="F49">
        <f t="shared" si="1"/>
        <v>106</v>
      </c>
    </row>
    <row r="50" spans="1:6" x14ac:dyDescent="0.25">
      <c r="A50">
        <v>93</v>
      </c>
      <c r="B50">
        <f t="shared" si="3"/>
        <v>212</v>
      </c>
      <c r="C50" s="5">
        <f t="shared" si="2"/>
        <v>621.09375</v>
      </c>
      <c r="D50">
        <v>9300</v>
      </c>
      <c r="E50">
        <v>9401</v>
      </c>
      <c r="F50">
        <f t="shared" si="1"/>
        <v>101</v>
      </c>
    </row>
    <row r="51" spans="1:6" x14ac:dyDescent="0.25">
      <c r="A51">
        <v>94</v>
      </c>
      <c r="B51">
        <f t="shared" si="3"/>
        <v>206</v>
      </c>
      <c r="C51" s="5">
        <f t="shared" si="2"/>
        <v>603.515625</v>
      </c>
      <c r="D51">
        <v>9400</v>
      </c>
      <c r="E51">
        <v>9512</v>
      </c>
      <c r="F51">
        <f t="shared" si="1"/>
        <v>112</v>
      </c>
    </row>
    <row r="52" spans="1:6" x14ac:dyDescent="0.25">
      <c r="A52">
        <v>95</v>
      </c>
      <c r="B52">
        <f t="shared" si="3"/>
        <v>200</v>
      </c>
      <c r="C52" s="5">
        <f t="shared" si="2"/>
        <v>585.9375</v>
      </c>
      <c r="D52">
        <v>9500</v>
      </c>
      <c r="E52">
        <v>9606</v>
      </c>
      <c r="F52">
        <f t="shared" si="1"/>
        <v>106</v>
      </c>
    </row>
    <row r="53" spans="1:6" x14ac:dyDescent="0.25">
      <c r="A53">
        <v>96</v>
      </c>
      <c r="B53">
        <f t="shared" si="3"/>
        <v>193</v>
      </c>
      <c r="C53" s="5">
        <f t="shared" si="2"/>
        <v>565.4296875</v>
      </c>
      <c r="D53">
        <v>9600</v>
      </c>
      <c r="E53">
        <v>9700</v>
      </c>
      <c r="F53">
        <f t="shared" si="1"/>
        <v>100</v>
      </c>
    </row>
    <row r="54" spans="1:6" x14ac:dyDescent="0.25">
      <c r="A54">
        <v>97</v>
      </c>
      <c r="B54">
        <f t="shared" si="3"/>
        <v>187</v>
      </c>
      <c r="C54" s="5">
        <f t="shared" si="2"/>
        <v>547.8515625</v>
      </c>
      <c r="D54">
        <v>9700</v>
      </c>
      <c r="E54">
        <v>9813</v>
      </c>
      <c r="F54">
        <f t="shared" si="1"/>
        <v>113</v>
      </c>
    </row>
    <row r="55" spans="1:6" x14ac:dyDescent="0.25">
      <c r="A55">
        <v>98</v>
      </c>
      <c r="B55">
        <f t="shared" si="3"/>
        <v>181</v>
      </c>
      <c r="C55" s="5">
        <f t="shared" si="2"/>
        <v>530.2734375</v>
      </c>
      <c r="D55">
        <v>9800</v>
      </c>
      <c r="E55">
        <v>9907</v>
      </c>
      <c r="F55">
        <f t="shared" si="1"/>
        <v>107</v>
      </c>
    </row>
    <row r="56" spans="1:6" x14ac:dyDescent="0.25">
      <c r="A56">
        <v>99</v>
      </c>
      <c r="B56">
        <f t="shared" si="3"/>
        <v>174</v>
      </c>
      <c r="C56" s="5">
        <f t="shared" si="2"/>
        <v>509.765625</v>
      </c>
      <c r="D56">
        <v>9900</v>
      </c>
      <c r="E56">
        <v>10003</v>
      </c>
      <c r="F56">
        <f t="shared" si="1"/>
        <v>103</v>
      </c>
    </row>
    <row r="57" spans="1:6" x14ac:dyDescent="0.25">
      <c r="A57" s="6">
        <v>100</v>
      </c>
      <c r="B57" s="6">
        <f t="shared" si="3"/>
        <v>168</v>
      </c>
      <c r="C57" s="7">
        <f t="shared" si="2"/>
        <v>492.1875</v>
      </c>
      <c r="D57" s="6">
        <v>10000</v>
      </c>
      <c r="E57" s="6">
        <v>10113</v>
      </c>
      <c r="F57" s="6">
        <f t="shared" si="1"/>
        <v>113</v>
      </c>
    </row>
    <row r="58" spans="1:6" x14ac:dyDescent="0.25">
      <c r="A58">
        <v>101</v>
      </c>
      <c r="B58">
        <f t="shared" si="3"/>
        <v>162</v>
      </c>
      <c r="C58" s="5">
        <f t="shared" si="2"/>
        <v>474.609375</v>
      </c>
      <c r="D58">
        <v>10100</v>
      </c>
      <c r="E58">
        <v>10207</v>
      </c>
      <c r="F58">
        <f t="shared" si="1"/>
        <v>107</v>
      </c>
    </row>
    <row r="59" spans="1:6" x14ac:dyDescent="0.25">
      <c r="A59">
        <v>102</v>
      </c>
      <c r="B59">
        <f t="shared" si="3"/>
        <v>155</v>
      </c>
      <c r="C59" s="5">
        <f t="shared" si="2"/>
        <v>454.1015625</v>
      </c>
      <c r="D59">
        <v>10200</v>
      </c>
      <c r="E59">
        <v>10302</v>
      </c>
      <c r="F59">
        <f t="shared" si="1"/>
        <v>102</v>
      </c>
    </row>
    <row r="60" spans="1:6" x14ac:dyDescent="0.25">
      <c r="A60">
        <v>103</v>
      </c>
      <c r="B60">
        <f t="shared" si="3"/>
        <v>149</v>
      </c>
      <c r="C60" s="5">
        <f t="shared" si="2"/>
        <v>436.5234375</v>
      </c>
      <c r="D60">
        <v>10300</v>
      </c>
      <c r="E60">
        <v>10413</v>
      </c>
      <c r="F60">
        <f t="shared" si="1"/>
        <v>113</v>
      </c>
    </row>
    <row r="61" spans="1:6" x14ac:dyDescent="0.25">
      <c r="A61">
        <v>104</v>
      </c>
      <c r="B61">
        <f t="shared" si="3"/>
        <v>142</v>
      </c>
      <c r="C61" s="5">
        <f t="shared" si="2"/>
        <v>416.015625</v>
      </c>
      <c r="D61">
        <v>10400</v>
      </c>
      <c r="E61">
        <v>10509</v>
      </c>
      <c r="F61">
        <f t="shared" si="1"/>
        <v>109</v>
      </c>
    </row>
    <row r="62" spans="1:6" x14ac:dyDescent="0.25">
      <c r="A62">
        <v>105</v>
      </c>
      <c r="B62">
        <f t="shared" si="3"/>
        <v>136</v>
      </c>
      <c r="C62" s="5">
        <f t="shared" si="2"/>
        <v>398.4375</v>
      </c>
      <c r="D62">
        <v>10500</v>
      </c>
      <c r="E62">
        <v>10602</v>
      </c>
      <c r="F62">
        <f t="shared" si="1"/>
        <v>102</v>
      </c>
    </row>
    <row r="63" spans="1:6" x14ac:dyDescent="0.25">
      <c r="A63">
        <v>106</v>
      </c>
      <c r="B63">
        <f t="shared" si="3"/>
        <v>130</v>
      </c>
      <c r="C63" s="5">
        <f t="shared" si="2"/>
        <v>380.859375</v>
      </c>
      <c r="D63">
        <v>10600</v>
      </c>
      <c r="E63">
        <v>10713</v>
      </c>
      <c r="F63">
        <f t="shared" si="1"/>
        <v>113</v>
      </c>
    </row>
    <row r="64" spans="1:6" x14ac:dyDescent="0.25">
      <c r="A64">
        <v>107</v>
      </c>
      <c r="B64">
        <f t="shared" si="3"/>
        <v>123</v>
      </c>
      <c r="C64" s="5">
        <f t="shared" si="2"/>
        <v>360.3515625</v>
      </c>
      <c r="D64">
        <v>10700</v>
      </c>
      <c r="E64">
        <v>10809</v>
      </c>
      <c r="F64">
        <f t="shared" si="1"/>
        <v>109</v>
      </c>
    </row>
    <row r="65" spans="1:6" x14ac:dyDescent="0.25">
      <c r="A65">
        <v>108</v>
      </c>
      <c r="B65">
        <f t="shared" si="3"/>
        <v>117</v>
      </c>
      <c r="C65" s="5">
        <f t="shared" si="2"/>
        <v>342.7734375</v>
      </c>
      <c r="D65">
        <v>10800</v>
      </c>
      <c r="E65">
        <v>10903</v>
      </c>
      <c r="F65">
        <f t="shared" si="1"/>
        <v>103</v>
      </c>
    </row>
    <row r="66" spans="1:6" x14ac:dyDescent="0.25">
      <c r="A66">
        <v>109</v>
      </c>
      <c r="B66">
        <f t="shared" si="3"/>
        <v>111</v>
      </c>
      <c r="C66" s="5">
        <f t="shared" si="2"/>
        <v>325.1953125</v>
      </c>
      <c r="D66">
        <v>10900</v>
      </c>
      <c r="E66">
        <v>11015</v>
      </c>
      <c r="F66">
        <f t="shared" si="1"/>
        <v>115</v>
      </c>
    </row>
    <row r="67" spans="1:6" x14ac:dyDescent="0.25">
      <c r="A67" s="6">
        <v>110</v>
      </c>
      <c r="B67" s="6">
        <f t="shared" si="3"/>
        <v>104</v>
      </c>
      <c r="C67" s="7">
        <f t="shared" si="2"/>
        <v>304.6875</v>
      </c>
      <c r="D67" s="6">
        <v>11000</v>
      </c>
      <c r="E67" s="6">
        <v>11109</v>
      </c>
      <c r="F67" s="6">
        <f t="shared" si="1"/>
        <v>109</v>
      </c>
    </row>
    <row r="68" spans="1:6" x14ac:dyDescent="0.25">
      <c r="A68">
        <v>111</v>
      </c>
      <c r="B68">
        <f t="shared" si="3"/>
        <v>98</v>
      </c>
      <c r="C68" s="5">
        <f t="shared" si="2"/>
        <v>287.109375</v>
      </c>
      <c r="D68">
        <v>11100</v>
      </c>
      <c r="E68">
        <v>11203</v>
      </c>
      <c r="F68">
        <f t="shared" si="1"/>
        <v>103</v>
      </c>
    </row>
    <row r="69" spans="1:6" x14ac:dyDescent="0.25">
      <c r="A69">
        <v>112</v>
      </c>
      <c r="B69">
        <f t="shared" si="3"/>
        <v>92</v>
      </c>
      <c r="C69" s="5">
        <f t="shared" si="2"/>
        <v>269.53125</v>
      </c>
      <c r="D69">
        <v>11200</v>
      </c>
      <c r="E69">
        <v>11315</v>
      </c>
      <c r="F69">
        <f t="shared" si="1"/>
        <v>115</v>
      </c>
    </row>
    <row r="70" spans="1:6" x14ac:dyDescent="0.25">
      <c r="A70">
        <v>113</v>
      </c>
      <c r="B70">
        <f t="shared" si="3"/>
        <v>85</v>
      </c>
      <c r="C70" s="5">
        <f t="shared" si="2"/>
        <v>249.0234375</v>
      </c>
      <c r="D70">
        <v>11300</v>
      </c>
      <c r="E70">
        <v>11409</v>
      </c>
      <c r="F70">
        <f t="shared" si="1"/>
        <v>109</v>
      </c>
    </row>
    <row r="71" spans="1:6" x14ac:dyDescent="0.25">
      <c r="A71">
        <v>114</v>
      </c>
      <c r="B71">
        <f t="shared" ref="B71:B77" si="4">ROUND($E$4-(((A71-$B$2)*($E$4-$E$3))/($B$1-$B$2)),0)</f>
        <v>79</v>
      </c>
      <c r="C71" s="5">
        <f t="shared" si="2"/>
        <v>231.4453125</v>
      </c>
      <c r="D71">
        <v>11400</v>
      </c>
      <c r="E71">
        <v>11506</v>
      </c>
      <c r="F71">
        <f t="shared" si="1"/>
        <v>106</v>
      </c>
    </row>
    <row r="72" spans="1:6" x14ac:dyDescent="0.25">
      <c r="A72">
        <v>115</v>
      </c>
      <c r="B72">
        <f t="shared" si="4"/>
        <v>73</v>
      </c>
      <c r="C72" s="5">
        <f t="shared" si="2"/>
        <v>213.8671875</v>
      </c>
      <c r="D72">
        <v>11500</v>
      </c>
      <c r="E72">
        <v>11616</v>
      </c>
      <c r="F72">
        <f t="shared" ref="F72:F77" si="5">E72-D72</f>
        <v>116</v>
      </c>
    </row>
    <row r="73" spans="1:6" x14ac:dyDescent="0.25">
      <c r="A73">
        <v>116</v>
      </c>
      <c r="B73">
        <f t="shared" si="4"/>
        <v>66</v>
      </c>
      <c r="C73" s="5">
        <f t="shared" ref="C73:C77" si="6">B73*$E$1/$E$2</f>
        <v>193.359375</v>
      </c>
      <c r="D73">
        <v>11600</v>
      </c>
      <c r="E73">
        <v>11712</v>
      </c>
      <c r="F73">
        <f t="shared" si="5"/>
        <v>112</v>
      </c>
    </row>
    <row r="74" spans="1:6" x14ac:dyDescent="0.25">
      <c r="A74">
        <v>117</v>
      </c>
      <c r="B74">
        <f t="shared" si="4"/>
        <v>60</v>
      </c>
      <c r="C74" s="5">
        <f t="shared" si="6"/>
        <v>175.78125</v>
      </c>
      <c r="D74">
        <v>11700</v>
      </c>
      <c r="E74">
        <v>11807</v>
      </c>
      <c r="F74">
        <f t="shared" si="5"/>
        <v>107</v>
      </c>
    </row>
    <row r="75" spans="1:6" x14ac:dyDescent="0.25">
      <c r="A75">
        <v>118</v>
      </c>
      <c r="B75">
        <f t="shared" si="4"/>
        <v>54</v>
      </c>
      <c r="C75" s="5">
        <f t="shared" si="6"/>
        <v>158.203125</v>
      </c>
      <c r="D75">
        <v>11800</v>
      </c>
      <c r="E75">
        <v>11918</v>
      </c>
      <c r="F75">
        <f t="shared" si="5"/>
        <v>118</v>
      </c>
    </row>
    <row r="76" spans="1:6" x14ac:dyDescent="0.25">
      <c r="A76">
        <v>119</v>
      </c>
      <c r="B76">
        <f t="shared" si="4"/>
        <v>47</v>
      </c>
      <c r="C76" s="5">
        <f t="shared" si="6"/>
        <v>137.6953125</v>
      </c>
      <c r="D76">
        <v>11900</v>
      </c>
      <c r="E76">
        <v>12014</v>
      </c>
      <c r="F76">
        <f t="shared" si="5"/>
        <v>114</v>
      </c>
    </row>
    <row r="77" spans="1:6" x14ac:dyDescent="0.25">
      <c r="A77">
        <v>120</v>
      </c>
      <c r="B77">
        <f t="shared" si="4"/>
        <v>41</v>
      </c>
      <c r="C77" s="5">
        <f t="shared" si="6"/>
        <v>120.1171875</v>
      </c>
      <c r="D77">
        <v>12000</v>
      </c>
      <c r="E77">
        <v>12123</v>
      </c>
      <c r="F77">
        <f t="shared" si="5"/>
        <v>123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F998-9803-4AEC-9A37-8EE1F21ADE4F}">
  <dimension ref="A1:J77"/>
  <sheetViews>
    <sheetView workbookViewId="0">
      <selection activeCell="B7" sqref="B7"/>
    </sheetView>
  </sheetViews>
  <sheetFormatPr baseColWidth="10" defaultRowHeight="15" x14ac:dyDescent="0.25"/>
  <cols>
    <col min="1" max="1" width="14.28515625" bestFit="1" customWidth="1"/>
    <col min="3" max="3" width="11.5703125" customWidth="1"/>
    <col min="4" max="4" width="12.42578125" customWidth="1"/>
    <col min="5" max="5" width="14.7109375" customWidth="1"/>
    <col min="6" max="6" width="9.7109375" bestFit="1" customWidth="1"/>
    <col min="7" max="7" width="6" bestFit="1" customWidth="1"/>
    <col min="8" max="8" width="20.7109375" bestFit="1" customWidth="1"/>
    <col min="9" max="9" width="4.5703125" bestFit="1" customWidth="1"/>
  </cols>
  <sheetData>
    <row r="1" spans="1:10" x14ac:dyDescent="0.25">
      <c r="A1" t="s">
        <v>8</v>
      </c>
      <c r="B1">
        <v>120</v>
      </c>
      <c r="D1" t="s">
        <v>2</v>
      </c>
      <c r="E1">
        <v>3000</v>
      </c>
      <c r="F1" t="s">
        <v>3</v>
      </c>
    </row>
    <row r="2" spans="1:10" x14ac:dyDescent="0.25">
      <c r="A2" t="s">
        <v>9</v>
      </c>
      <c r="B2">
        <v>50</v>
      </c>
      <c r="D2" t="s">
        <v>1</v>
      </c>
      <c r="E2">
        <v>1024</v>
      </c>
      <c r="F2" t="s">
        <v>4</v>
      </c>
      <c r="H2" t="s">
        <v>18</v>
      </c>
      <c r="I2" s="3">
        <f>E1/E2</f>
        <v>2.9296875</v>
      </c>
      <c r="J2" t="s">
        <v>12</v>
      </c>
    </row>
    <row r="3" spans="1:10" x14ac:dyDescent="0.25">
      <c r="A3" t="s">
        <v>10</v>
      </c>
      <c r="B3">
        <v>140</v>
      </c>
      <c r="C3" t="s">
        <v>12</v>
      </c>
      <c r="D3" t="s">
        <v>6</v>
      </c>
      <c r="E3">
        <f>ROUND(B3*E2/E1,0)</f>
        <v>48</v>
      </c>
    </row>
    <row r="4" spans="1:10" x14ac:dyDescent="0.25">
      <c r="A4" t="s">
        <v>11</v>
      </c>
      <c r="B4">
        <v>1435</v>
      </c>
      <c r="C4" t="s">
        <v>12</v>
      </c>
      <c r="D4" t="s">
        <v>5</v>
      </c>
      <c r="E4">
        <f>ROUND( B4*E2/E1,0)</f>
        <v>490</v>
      </c>
    </row>
    <row r="5" spans="1:10" s="8" customFormat="1" x14ac:dyDescent="0.25"/>
    <row r="6" spans="1:10" s="1" customFormat="1" ht="30" x14ac:dyDescent="0.25">
      <c r="A6" s="1" t="s">
        <v>7</v>
      </c>
      <c r="B6" s="2" t="s">
        <v>0</v>
      </c>
      <c r="C6" s="2" t="s">
        <v>13</v>
      </c>
      <c r="D6" s="2" t="s">
        <v>14</v>
      </c>
      <c r="E6" s="2" t="s">
        <v>15</v>
      </c>
      <c r="F6" s="2" t="s">
        <v>17</v>
      </c>
      <c r="G6" s="1" t="s">
        <v>19</v>
      </c>
    </row>
    <row r="7" spans="1:10" x14ac:dyDescent="0.25">
      <c r="A7" s="6">
        <v>50</v>
      </c>
      <c r="B7" s="6">
        <f t="shared" ref="B7:B38" si="0">ROUND($E$4-(((A7-$B$2)*($E$4-$E$3))/($B$1-$B$2)),0)</f>
        <v>490</v>
      </c>
      <c r="C7" s="7">
        <f>B7*$E$1/$E$2</f>
        <v>1435.546875</v>
      </c>
      <c r="D7" s="6">
        <v>5000</v>
      </c>
      <c r="E7" s="6">
        <v>5016</v>
      </c>
      <c r="F7" s="6">
        <f>E7-D7</f>
        <v>16</v>
      </c>
      <c r="G7" s="9">
        <f>ROUND(F7/$I$2,1)</f>
        <v>5.5</v>
      </c>
    </row>
    <row r="8" spans="1:10" x14ac:dyDescent="0.25">
      <c r="A8">
        <v>51</v>
      </c>
      <c r="B8">
        <f t="shared" si="0"/>
        <v>484</v>
      </c>
      <c r="C8" s="5">
        <f>B8*$E$1/$E$2</f>
        <v>1417.96875</v>
      </c>
      <c r="D8">
        <v>5100</v>
      </c>
      <c r="E8">
        <v>5109</v>
      </c>
      <c r="F8">
        <f t="shared" ref="F8:F71" si="1">E8-D8</f>
        <v>9</v>
      </c>
      <c r="G8" s="4">
        <f t="shared" ref="G8:G71" si="2">ROUND(F8/$I$2,1)</f>
        <v>3.1</v>
      </c>
    </row>
    <row r="9" spans="1:10" x14ac:dyDescent="0.25">
      <c r="A9">
        <v>52</v>
      </c>
      <c r="B9">
        <f t="shared" si="0"/>
        <v>477</v>
      </c>
      <c r="C9" s="5">
        <f t="shared" ref="C9:C72" si="3">B9*$E$1/$E$2</f>
        <v>1397.4609375</v>
      </c>
      <c r="D9">
        <v>5200</v>
      </c>
      <c r="E9">
        <v>5204</v>
      </c>
      <c r="F9">
        <f t="shared" si="1"/>
        <v>4</v>
      </c>
      <c r="G9" s="4">
        <f t="shared" si="2"/>
        <v>1.4</v>
      </c>
    </row>
    <row r="10" spans="1:10" x14ac:dyDescent="0.25">
      <c r="A10">
        <v>53</v>
      </c>
      <c r="B10">
        <f t="shared" si="0"/>
        <v>471</v>
      </c>
      <c r="C10" s="5">
        <f t="shared" si="3"/>
        <v>1379.8828125</v>
      </c>
      <c r="D10">
        <v>5300</v>
      </c>
      <c r="E10">
        <v>5300</v>
      </c>
      <c r="F10">
        <f t="shared" si="1"/>
        <v>0</v>
      </c>
      <c r="G10" s="4">
        <f t="shared" si="2"/>
        <v>0</v>
      </c>
    </row>
    <row r="11" spans="1:10" x14ac:dyDescent="0.25">
      <c r="A11">
        <v>54</v>
      </c>
      <c r="B11">
        <f t="shared" si="0"/>
        <v>465</v>
      </c>
      <c r="C11" s="5">
        <f t="shared" si="3"/>
        <v>1362.3046875</v>
      </c>
      <c r="D11">
        <v>5400</v>
      </c>
      <c r="E11">
        <v>5409</v>
      </c>
      <c r="F11">
        <f t="shared" si="1"/>
        <v>9</v>
      </c>
      <c r="G11" s="4">
        <f t="shared" si="2"/>
        <v>3.1</v>
      </c>
    </row>
    <row r="12" spans="1:10" x14ac:dyDescent="0.25">
      <c r="A12">
        <v>55</v>
      </c>
      <c r="B12">
        <f t="shared" si="0"/>
        <v>458</v>
      </c>
      <c r="C12" s="5">
        <f t="shared" si="3"/>
        <v>1341.796875</v>
      </c>
      <c r="D12">
        <v>5500</v>
      </c>
      <c r="E12">
        <v>5503</v>
      </c>
      <c r="F12">
        <f t="shared" si="1"/>
        <v>3</v>
      </c>
      <c r="G12" s="4">
        <f t="shared" si="2"/>
        <v>1</v>
      </c>
    </row>
    <row r="13" spans="1:10" x14ac:dyDescent="0.25">
      <c r="A13">
        <v>56</v>
      </c>
      <c r="B13">
        <f t="shared" si="0"/>
        <v>452</v>
      </c>
      <c r="C13" s="5">
        <f t="shared" si="3"/>
        <v>1324.21875</v>
      </c>
      <c r="D13">
        <v>5600</v>
      </c>
      <c r="E13">
        <v>5598</v>
      </c>
      <c r="F13">
        <f t="shared" si="1"/>
        <v>-2</v>
      </c>
      <c r="G13" s="4">
        <f t="shared" si="2"/>
        <v>-0.7</v>
      </c>
    </row>
    <row r="14" spans="1:10" x14ac:dyDescent="0.25">
      <c r="A14">
        <v>57</v>
      </c>
      <c r="B14">
        <f t="shared" si="0"/>
        <v>446</v>
      </c>
      <c r="C14" s="5">
        <f t="shared" si="3"/>
        <v>1306.640625</v>
      </c>
      <c r="D14">
        <v>5700</v>
      </c>
      <c r="E14">
        <v>5710</v>
      </c>
      <c r="F14">
        <f t="shared" si="1"/>
        <v>10</v>
      </c>
      <c r="G14" s="4">
        <f t="shared" si="2"/>
        <v>3.4</v>
      </c>
    </row>
    <row r="15" spans="1:10" x14ac:dyDescent="0.25">
      <c r="A15">
        <v>58</v>
      </c>
      <c r="B15">
        <f t="shared" si="0"/>
        <v>439</v>
      </c>
      <c r="C15" s="5">
        <f t="shared" si="3"/>
        <v>1286.1328125</v>
      </c>
      <c r="D15">
        <v>5800</v>
      </c>
      <c r="E15">
        <v>5804</v>
      </c>
      <c r="F15">
        <f t="shared" si="1"/>
        <v>4</v>
      </c>
      <c r="G15" s="4">
        <f t="shared" si="2"/>
        <v>1.4</v>
      </c>
    </row>
    <row r="16" spans="1:10" x14ac:dyDescent="0.25">
      <c r="A16">
        <v>59</v>
      </c>
      <c r="B16">
        <f t="shared" si="0"/>
        <v>433</v>
      </c>
      <c r="C16" s="5">
        <f t="shared" si="3"/>
        <v>1268.5546875</v>
      </c>
      <c r="D16">
        <v>5900</v>
      </c>
      <c r="E16">
        <v>5899</v>
      </c>
      <c r="F16">
        <f t="shared" si="1"/>
        <v>-1</v>
      </c>
      <c r="G16" s="4">
        <f t="shared" si="2"/>
        <v>-0.3</v>
      </c>
    </row>
    <row r="17" spans="1:7" x14ac:dyDescent="0.25">
      <c r="A17" s="6">
        <v>60</v>
      </c>
      <c r="B17" s="6">
        <f t="shared" si="0"/>
        <v>427</v>
      </c>
      <c r="C17" s="7">
        <f t="shared" si="3"/>
        <v>1250.9765625</v>
      </c>
      <c r="D17" s="6">
        <v>6000</v>
      </c>
      <c r="E17" s="6">
        <v>6010</v>
      </c>
      <c r="F17" s="6">
        <f t="shared" si="1"/>
        <v>10</v>
      </c>
      <c r="G17" s="9">
        <f t="shared" si="2"/>
        <v>3.4</v>
      </c>
    </row>
    <row r="18" spans="1:7" x14ac:dyDescent="0.25">
      <c r="A18">
        <v>61</v>
      </c>
      <c r="B18">
        <f t="shared" si="0"/>
        <v>421</v>
      </c>
      <c r="C18" s="5">
        <f t="shared" si="3"/>
        <v>1233.3984375</v>
      </c>
      <c r="D18">
        <v>6100</v>
      </c>
      <c r="E18">
        <v>6104</v>
      </c>
      <c r="F18">
        <f t="shared" si="1"/>
        <v>4</v>
      </c>
      <c r="G18" s="4">
        <f t="shared" si="2"/>
        <v>1.4</v>
      </c>
    </row>
    <row r="19" spans="1:7" x14ac:dyDescent="0.25">
      <c r="A19">
        <v>62</v>
      </c>
      <c r="B19">
        <f t="shared" si="0"/>
        <v>414</v>
      </c>
      <c r="C19" s="5">
        <f t="shared" si="3"/>
        <v>1212.890625</v>
      </c>
      <c r="D19">
        <v>6200</v>
      </c>
      <c r="E19">
        <v>6200</v>
      </c>
      <c r="F19">
        <f t="shared" si="1"/>
        <v>0</v>
      </c>
      <c r="G19" s="4">
        <f t="shared" si="2"/>
        <v>0</v>
      </c>
    </row>
    <row r="20" spans="1:7" x14ac:dyDescent="0.25">
      <c r="A20">
        <v>63</v>
      </c>
      <c r="B20">
        <f t="shared" si="0"/>
        <v>408</v>
      </c>
      <c r="C20" s="5">
        <f t="shared" si="3"/>
        <v>1195.3125</v>
      </c>
      <c r="D20">
        <v>6300</v>
      </c>
      <c r="E20">
        <v>6310</v>
      </c>
      <c r="F20">
        <f t="shared" si="1"/>
        <v>10</v>
      </c>
      <c r="G20" s="4">
        <f t="shared" si="2"/>
        <v>3.4</v>
      </c>
    </row>
    <row r="21" spans="1:7" x14ac:dyDescent="0.25">
      <c r="A21">
        <v>64</v>
      </c>
      <c r="B21">
        <f t="shared" si="0"/>
        <v>402</v>
      </c>
      <c r="C21" s="5">
        <f t="shared" si="3"/>
        <v>1177.734375</v>
      </c>
      <c r="D21">
        <v>6400</v>
      </c>
      <c r="E21">
        <v>6404</v>
      </c>
      <c r="F21">
        <f t="shared" si="1"/>
        <v>4</v>
      </c>
      <c r="G21" s="4">
        <f t="shared" si="2"/>
        <v>1.4</v>
      </c>
    </row>
    <row r="22" spans="1:7" x14ac:dyDescent="0.25">
      <c r="A22">
        <v>65</v>
      </c>
      <c r="B22">
        <f t="shared" si="0"/>
        <v>395</v>
      </c>
      <c r="C22" s="5">
        <f t="shared" si="3"/>
        <v>1157.2265625</v>
      </c>
      <c r="D22">
        <v>6500</v>
      </c>
      <c r="E22">
        <v>6500</v>
      </c>
      <c r="F22">
        <f t="shared" si="1"/>
        <v>0</v>
      </c>
      <c r="G22" s="4">
        <f t="shared" si="2"/>
        <v>0</v>
      </c>
    </row>
    <row r="23" spans="1:7" x14ac:dyDescent="0.25">
      <c r="A23">
        <v>66</v>
      </c>
      <c r="B23">
        <f t="shared" si="0"/>
        <v>389</v>
      </c>
      <c r="C23" s="5">
        <f t="shared" si="3"/>
        <v>1139.6484375</v>
      </c>
      <c r="D23">
        <v>6600</v>
      </c>
      <c r="E23">
        <v>6609</v>
      </c>
      <c r="F23">
        <f t="shared" si="1"/>
        <v>9</v>
      </c>
      <c r="G23" s="4">
        <f t="shared" si="2"/>
        <v>3.1</v>
      </c>
    </row>
    <row r="24" spans="1:7" x14ac:dyDescent="0.25">
      <c r="A24">
        <v>67</v>
      </c>
      <c r="B24">
        <f t="shared" si="0"/>
        <v>383</v>
      </c>
      <c r="C24" s="5">
        <f t="shared" si="3"/>
        <v>1122.0703125</v>
      </c>
      <c r="D24">
        <v>6700</v>
      </c>
      <c r="E24">
        <v>6704</v>
      </c>
      <c r="F24">
        <f t="shared" si="1"/>
        <v>4</v>
      </c>
      <c r="G24" s="4">
        <f t="shared" si="2"/>
        <v>1.4</v>
      </c>
    </row>
    <row r="25" spans="1:7" x14ac:dyDescent="0.25">
      <c r="A25">
        <v>68</v>
      </c>
      <c r="B25">
        <f t="shared" si="0"/>
        <v>376</v>
      </c>
      <c r="C25" s="5">
        <f t="shared" si="3"/>
        <v>1101.5625</v>
      </c>
      <c r="D25">
        <v>6800</v>
      </c>
      <c r="E25">
        <v>6799</v>
      </c>
      <c r="F25">
        <f t="shared" si="1"/>
        <v>-1</v>
      </c>
      <c r="G25" s="4">
        <f t="shared" si="2"/>
        <v>-0.3</v>
      </c>
    </row>
    <row r="26" spans="1:7" x14ac:dyDescent="0.25">
      <c r="A26">
        <v>69</v>
      </c>
      <c r="B26">
        <f t="shared" si="0"/>
        <v>370</v>
      </c>
      <c r="C26" s="5">
        <f t="shared" si="3"/>
        <v>1083.984375</v>
      </c>
      <c r="D26">
        <v>6900</v>
      </c>
      <c r="E26">
        <v>6893</v>
      </c>
      <c r="F26">
        <f t="shared" si="1"/>
        <v>-7</v>
      </c>
      <c r="G26" s="4">
        <f t="shared" si="2"/>
        <v>-2.4</v>
      </c>
    </row>
    <row r="27" spans="1:7" x14ac:dyDescent="0.25">
      <c r="A27" s="6">
        <v>70</v>
      </c>
      <c r="B27" s="6">
        <f t="shared" si="0"/>
        <v>364</v>
      </c>
      <c r="C27" s="7">
        <f t="shared" si="3"/>
        <v>1066.40625</v>
      </c>
      <c r="D27" s="6">
        <v>7000</v>
      </c>
      <c r="E27" s="6">
        <v>7005</v>
      </c>
      <c r="F27" s="6">
        <f t="shared" si="1"/>
        <v>5</v>
      </c>
      <c r="G27" s="9">
        <f t="shared" si="2"/>
        <v>1.7</v>
      </c>
    </row>
    <row r="28" spans="1:7" x14ac:dyDescent="0.25">
      <c r="A28">
        <v>71</v>
      </c>
      <c r="B28">
        <f t="shared" si="0"/>
        <v>357</v>
      </c>
      <c r="C28" s="5">
        <f t="shared" si="3"/>
        <v>1045.8984375</v>
      </c>
      <c r="D28">
        <v>7100</v>
      </c>
      <c r="E28">
        <v>7101</v>
      </c>
      <c r="F28">
        <f t="shared" si="1"/>
        <v>1</v>
      </c>
      <c r="G28" s="4">
        <f t="shared" si="2"/>
        <v>0.3</v>
      </c>
    </row>
    <row r="29" spans="1:7" x14ac:dyDescent="0.25">
      <c r="A29">
        <v>72</v>
      </c>
      <c r="B29">
        <f t="shared" si="0"/>
        <v>351</v>
      </c>
      <c r="C29" s="5">
        <f t="shared" si="3"/>
        <v>1028.3203125</v>
      </c>
      <c r="D29">
        <v>7200</v>
      </c>
      <c r="E29">
        <v>7198</v>
      </c>
      <c r="F29">
        <f t="shared" si="1"/>
        <v>-2</v>
      </c>
      <c r="G29" s="4">
        <f t="shared" si="2"/>
        <v>-0.7</v>
      </c>
    </row>
    <row r="30" spans="1:7" x14ac:dyDescent="0.25">
      <c r="A30">
        <v>73</v>
      </c>
      <c r="B30">
        <f t="shared" si="0"/>
        <v>345</v>
      </c>
      <c r="C30" s="5">
        <f t="shared" si="3"/>
        <v>1010.7421875</v>
      </c>
      <c r="D30">
        <v>7300</v>
      </c>
      <c r="E30">
        <v>7308</v>
      </c>
      <c r="F30">
        <f t="shared" si="1"/>
        <v>8</v>
      </c>
      <c r="G30" s="4">
        <f t="shared" si="2"/>
        <v>2.7</v>
      </c>
    </row>
    <row r="31" spans="1:7" x14ac:dyDescent="0.25">
      <c r="A31">
        <v>74</v>
      </c>
      <c r="B31">
        <f t="shared" si="0"/>
        <v>338</v>
      </c>
      <c r="C31" s="5">
        <f t="shared" si="3"/>
        <v>990.234375</v>
      </c>
      <c r="D31">
        <v>7400</v>
      </c>
      <c r="E31">
        <v>7403</v>
      </c>
      <c r="F31">
        <f t="shared" si="1"/>
        <v>3</v>
      </c>
      <c r="G31" s="4">
        <f t="shared" si="2"/>
        <v>1</v>
      </c>
    </row>
    <row r="32" spans="1:7" x14ac:dyDescent="0.25">
      <c r="A32">
        <v>75</v>
      </c>
      <c r="B32">
        <f t="shared" si="0"/>
        <v>332</v>
      </c>
      <c r="C32" s="5">
        <f t="shared" si="3"/>
        <v>972.65625</v>
      </c>
      <c r="D32">
        <v>7500</v>
      </c>
      <c r="E32">
        <v>7499</v>
      </c>
      <c r="F32">
        <f t="shared" si="1"/>
        <v>-1</v>
      </c>
      <c r="G32" s="4">
        <f t="shared" si="2"/>
        <v>-0.3</v>
      </c>
    </row>
    <row r="33" spans="1:7" x14ac:dyDescent="0.25">
      <c r="A33">
        <v>76</v>
      </c>
      <c r="B33">
        <f t="shared" si="0"/>
        <v>326</v>
      </c>
      <c r="C33" s="5">
        <f t="shared" si="3"/>
        <v>955.078125</v>
      </c>
      <c r="D33">
        <v>7600</v>
      </c>
      <c r="E33">
        <v>7608</v>
      </c>
      <c r="F33">
        <f t="shared" si="1"/>
        <v>8</v>
      </c>
      <c r="G33" s="4">
        <f t="shared" si="2"/>
        <v>2.7</v>
      </c>
    </row>
    <row r="34" spans="1:7" x14ac:dyDescent="0.25">
      <c r="A34">
        <v>77</v>
      </c>
      <c r="B34">
        <f t="shared" si="0"/>
        <v>320</v>
      </c>
      <c r="C34" s="5">
        <f t="shared" si="3"/>
        <v>937.5</v>
      </c>
      <c r="D34">
        <v>7700</v>
      </c>
      <c r="E34">
        <v>7704</v>
      </c>
      <c r="F34">
        <f t="shared" si="1"/>
        <v>4</v>
      </c>
      <c r="G34" s="4">
        <f t="shared" si="2"/>
        <v>1.4</v>
      </c>
    </row>
    <row r="35" spans="1:7" x14ac:dyDescent="0.25">
      <c r="A35">
        <v>78</v>
      </c>
      <c r="B35">
        <f t="shared" si="0"/>
        <v>313</v>
      </c>
      <c r="C35" s="5">
        <f t="shared" si="3"/>
        <v>916.9921875</v>
      </c>
      <c r="D35">
        <v>7800</v>
      </c>
      <c r="E35">
        <v>7799</v>
      </c>
      <c r="F35">
        <f t="shared" si="1"/>
        <v>-1</v>
      </c>
      <c r="G35" s="4">
        <f t="shared" si="2"/>
        <v>-0.3</v>
      </c>
    </row>
    <row r="36" spans="1:7" x14ac:dyDescent="0.25">
      <c r="A36">
        <v>79</v>
      </c>
      <c r="B36">
        <f t="shared" si="0"/>
        <v>307</v>
      </c>
      <c r="C36" s="5">
        <f t="shared" si="3"/>
        <v>899.4140625</v>
      </c>
      <c r="D36">
        <v>7900</v>
      </c>
      <c r="E36">
        <v>7909</v>
      </c>
      <c r="F36">
        <f t="shared" si="1"/>
        <v>9</v>
      </c>
      <c r="G36" s="4">
        <f t="shared" si="2"/>
        <v>3.1</v>
      </c>
    </row>
    <row r="37" spans="1:7" x14ac:dyDescent="0.25">
      <c r="A37" s="6">
        <v>80</v>
      </c>
      <c r="B37" s="6">
        <f t="shared" si="0"/>
        <v>301</v>
      </c>
      <c r="C37" s="7">
        <f t="shared" si="3"/>
        <v>881.8359375</v>
      </c>
      <c r="D37" s="6">
        <v>8000</v>
      </c>
      <c r="E37" s="6">
        <v>8005</v>
      </c>
      <c r="F37" s="6">
        <f t="shared" si="1"/>
        <v>5</v>
      </c>
      <c r="G37" s="9">
        <f t="shared" si="2"/>
        <v>1.7</v>
      </c>
    </row>
    <row r="38" spans="1:7" x14ac:dyDescent="0.25">
      <c r="A38">
        <v>81</v>
      </c>
      <c r="B38">
        <f t="shared" si="0"/>
        <v>294</v>
      </c>
      <c r="C38" s="5">
        <f t="shared" si="3"/>
        <v>861.328125</v>
      </c>
      <c r="D38">
        <v>8100</v>
      </c>
      <c r="E38">
        <v>8099</v>
      </c>
      <c r="F38">
        <f t="shared" si="1"/>
        <v>-1</v>
      </c>
      <c r="G38" s="4">
        <f t="shared" si="2"/>
        <v>-0.3</v>
      </c>
    </row>
    <row r="39" spans="1:7" x14ac:dyDescent="0.25">
      <c r="A39">
        <v>82</v>
      </c>
      <c r="B39">
        <f t="shared" ref="B39:B70" si="4">ROUND($E$4-(((A39-$B$2)*($E$4-$E$3))/($B$1-$B$2)),0)</f>
        <v>288</v>
      </c>
      <c r="C39" s="5">
        <f t="shared" si="3"/>
        <v>843.75</v>
      </c>
      <c r="D39">
        <v>8200</v>
      </c>
      <c r="E39">
        <v>8211</v>
      </c>
      <c r="F39">
        <f t="shared" si="1"/>
        <v>11</v>
      </c>
      <c r="G39" s="4">
        <f t="shared" si="2"/>
        <v>3.8</v>
      </c>
    </row>
    <row r="40" spans="1:7" x14ac:dyDescent="0.25">
      <c r="A40">
        <v>83</v>
      </c>
      <c r="B40">
        <f t="shared" si="4"/>
        <v>282</v>
      </c>
      <c r="C40" s="5">
        <f t="shared" si="3"/>
        <v>826.171875</v>
      </c>
      <c r="D40">
        <v>8300</v>
      </c>
      <c r="E40">
        <v>8306</v>
      </c>
      <c r="F40">
        <f t="shared" si="1"/>
        <v>6</v>
      </c>
      <c r="G40" s="4">
        <f t="shared" si="2"/>
        <v>2</v>
      </c>
    </row>
    <row r="41" spans="1:7" x14ac:dyDescent="0.25">
      <c r="A41">
        <v>84</v>
      </c>
      <c r="B41">
        <f t="shared" si="4"/>
        <v>275</v>
      </c>
      <c r="C41" s="5">
        <f t="shared" si="3"/>
        <v>805.6640625</v>
      </c>
      <c r="D41">
        <v>8400</v>
      </c>
      <c r="E41">
        <v>8401</v>
      </c>
      <c r="F41">
        <f t="shared" si="1"/>
        <v>1</v>
      </c>
      <c r="G41" s="4">
        <f t="shared" si="2"/>
        <v>0.3</v>
      </c>
    </row>
    <row r="42" spans="1:7" x14ac:dyDescent="0.25">
      <c r="A42">
        <v>85</v>
      </c>
      <c r="B42">
        <f t="shared" si="4"/>
        <v>269</v>
      </c>
      <c r="C42" s="5">
        <f t="shared" si="3"/>
        <v>788.0859375</v>
      </c>
      <c r="D42">
        <v>8500</v>
      </c>
      <c r="E42">
        <v>8514</v>
      </c>
      <c r="F42">
        <f t="shared" si="1"/>
        <v>14</v>
      </c>
      <c r="G42" s="4">
        <f t="shared" si="2"/>
        <v>4.8</v>
      </c>
    </row>
    <row r="43" spans="1:7" x14ac:dyDescent="0.25">
      <c r="A43">
        <v>86</v>
      </c>
      <c r="B43">
        <f t="shared" si="4"/>
        <v>263</v>
      </c>
      <c r="C43" s="5">
        <f t="shared" si="3"/>
        <v>770.5078125</v>
      </c>
      <c r="D43">
        <v>8600</v>
      </c>
      <c r="E43">
        <v>8608</v>
      </c>
      <c r="F43">
        <f t="shared" si="1"/>
        <v>8</v>
      </c>
      <c r="G43" s="4">
        <f t="shared" si="2"/>
        <v>2.7</v>
      </c>
    </row>
    <row r="44" spans="1:7" x14ac:dyDescent="0.25">
      <c r="A44">
        <v>87</v>
      </c>
      <c r="B44">
        <f t="shared" si="4"/>
        <v>256</v>
      </c>
      <c r="C44" s="5">
        <f t="shared" si="3"/>
        <v>750</v>
      </c>
      <c r="D44">
        <v>8700</v>
      </c>
      <c r="E44">
        <v>8703</v>
      </c>
      <c r="F44">
        <f t="shared" si="1"/>
        <v>3</v>
      </c>
      <c r="G44" s="4">
        <f t="shared" si="2"/>
        <v>1</v>
      </c>
    </row>
    <row r="45" spans="1:7" x14ac:dyDescent="0.25">
      <c r="A45">
        <v>88</v>
      </c>
      <c r="B45">
        <f t="shared" si="4"/>
        <v>250</v>
      </c>
      <c r="C45" s="5">
        <f t="shared" si="3"/>
        <v>732.421875</v>
      </c>
      <c r="D45">
        <v>8800</v>
      </c>
      <c r="E45">
        <v>8799</v>
      </c>
      <c r="F45">
        <f t="shared" si="1"/>
        <v>-1</v>
      </c>
      <c r="G45" s="4">
        <f t="shared" si="2"/>
        <v>-0.3</v>
      </c>
    </row>
    <row r="46" spans="1:7" x14ac:dyDescent="0.25">
      <c r="A46">
        <v>89</v>
      </c>
      <c r="B46">
        <f t="shared" si="4"/>
        <v>244</v>
      </c>
      <c r="C46" s="5">
        <f t="shared" si="3"/>
        <v>714.84375</v>
      </c>
      <c r="D46">
        <v>8900</v>
      </c>
      <c r="E46">
        <v>8909</v>
      </c>
      <c r="F46">
        <f t="shared" si="1"/>
        <v>9</v>
      </c>
      <c r="G46" s="4">
        <f t="shared" si="2"/>
        <v>3.1</v>
      </c>
    </row>
    <row r="47" spans="1:7" x14ac:dyDescent="0.25">
      <c r="A47" s="6">
        <v>90</v>
      </c>
      <c r="B47" s="6">
        <f t="shared" si="4"/>
        <v>237</v>
      </c>
      <c r="C47" s="7">
        <f t="shared" si="3"/>
        <v>694.3359375</v>
      </c>
      <c r="D47" s="6">
        <v>9000</v>
      </c>
      <c r="E47" s="6">
        <v>9006</v>
      </c>
      <c r="F47" s="6">
        <f t="shared" si="1"/>
        <v>6</v>
      </c>
      <c r="G47" s="9">
        <f t="shared" si="2"/>
        <v>2</v>
      </c>
    </row>
    <row r="48" spans="1:7" x14ac:dyDescent="0.25">
      <c r="A48">
        <v>91</v>
      </c>
      <c r="B48">
        <f t="shared" si="4"/>
        <v>231</v>
      </c>
      <c r="C48" s="5">
        <f t="shared" si="3"/>
        <v>676.7578125</v>
      </c>
      <c r="D48">
        <v>9100</v>
      </c>
      <c r="E48">
        <v>9100</v>
      </c>
      <c r="F48">
        <f t="shared" si="1"/>
        <v>0</v>
      </c>
      <c r="G48" s="4">
        <f t="shared" si="2"/>
        <v>0</v>
      </c>
    </row>
    <row r="49" spans="1:7" x14ac:dyDescent="0.25">
      <c r="A49">
        <v>92</v>
      </c>
      <c r="B49">
        <f t="shared" si="4"/>
        <v>225</v>
      </c>
      <c r="C49" s="5">
        <f t="shared" si="3"/>
        <v>659.1796875</v>
      </c>
      <c r="D49">
        <v>9200</v>
      </c>
      <c r="E49">
        <v>9211</v>
      </c>
      <c r="F49">
        <f t="shared" si="1"/>
        <v>11</v>
      </c>
      <c r="G49" s="4">
        <f t="shared" si="2"/>
        <v>3.8</v>
      </c>
    </row>
    <row r="50" spans="1:7" x14ac:dyDescent="0.25">
      <c r="A50">
        <v>93</v>
      </c>
      <c r="B50">
        <f t="shared" si="4"/>
        <v>218</v>
      </c>
      <c r="C50" s="5">
        <f t="shared" si="3"/>
        <v>638.671875</v>
      </c>
      <c r="D50">
        <v>9300</v>
      </c>
      <c r="E50">
        <v>9305</v>
      </c>
      <c r="F50">
        <f t="shared" si="1"/>
        <v>5</v>
      </c>
      <c r="G50" s="4">
        <f t="shared" si="2"/>
        <v>1.7</v>
      </c>
    </row>
    <row r="51" spans="1:7" x14ac:dyDescent="0.25">
      <c r="A51">
        <v>94</v>
      </c>
      <c r="B51">
        <f t="shared" si="4"/>
        <v>212</v>
      </c>
      <c r="C51" s="5">
        <f t="shared" si="3"/>
        <v>621.09375</v>
      </c>
      <c r="D51">
        <v>9400</v>
      </c>
      <c r="E51">
        <v>9400</v>
      </c>
      <c r="F51">
        <f t="shared" si="1"/>
        <v>0</v>
      </c>
      <c r="G51" s="4">
        <f t="shared" si="2"/>
        <v>0</v>
      </c>
    </row>
    <row r="52" spans="1:7" x14ac:dyDescent="0.25">
      <c r="A52">
        <v>95</v>
      </c>
      <c r="B52">
        <f t="shared" si="4"/>
        <v>206</v>
      </c>
      <c r="C52" s="5">
        <f t="shared" si="3"/>
        <v>603.515625</v>
      </c>
      <c r="D52">
        <v>9500</v>
      </c>
      <c r="E52">
        <v>9511</v>
      </c>
      <c r="F52">
        <f t="shared" si="1"/>
        <v>11</v>
      </c>
      <c r="G52" s="4">
        <f t="shared" si="2"/>
        <v>3.8</v>
      </c>
    </row>
    <row r="53" spans="1:7" x14ac:dyDescent="0.25">
      <c r="A53">
        <v>96</v>
      </c>
      <c r="B53">
        <f t="shared" si="4"/>
        <v>200</v>
      </c>
      <c r="C53" s="5">
        <f t="shared" si="3"/>
        <v>585.9375</v>
      </c>
      <c r="D53">
        <v>9600</v>
      </c>
      <c r="E53">
        <v>9605</v>
      </c>
      <c r="F53">
        <f t="shared" si="1"/>
        <v>5</v>
      </c>
      <c r="G53" s="4">
        <f t="shared" si="2"/>
        <v>1.7</v>
      </c>
    </row>
    <row r="54" spans="1:7" x14ac:dyDescent="0.25">
      <c r="A54">
        <v>97</v>
      </c>
      <c r="B54">
        <f t="shared" si="4"/>
        <v>193</v>
      </c>
      <c r="C54" s="5">
        <f t="shared" si="3"/>
        <v>565.4296875</v>
      </c>
      <c r="D54">
        <v>9700</v>
      </c>
      <c r="E54">
        <v>9701</v>
      </c>
      <c r="F54">
        <f t="shared" si="1"/>
        <v>1</v>
      </c>
      <c r="G54" s="4">
        <f t="shared" si="2"/>
        <v>0.3</v>
      </c>
    </row>
    <row r="55" spans="1:7" x14ac:dyDescent="0.25">
      <c r="A55">
        <v>98</v>
      </c>
      <c r="B55">
        <f t="shared" si="4"/>
        <v>187</v>
      </c>
      <c r="C55" s="5">
        <f t="shared" si="3"/>
        <v>547.8515625</v>
      </c>
      <c r="D55">
        <v>9800</v>
      </c>
      <c r="E55">
        <v>9812</v>
      </c>
      <c r="F55">
        <f t="shared" si="1"/>
        <v>12</v>
      </c>
      <c r="G55" s="4">
        <f t="shared" si="2"/>
        <v>4.0999999999999996</v>
      </c>
    </row>
    <row r="56" spans="1:7" x14ac:dyDescent="0.25">
      <c r="A56">
        <v>99</v>
      </c>
      <c r="B56">
        <f t="shared" si="4"/>
        <v>181</v>
      </c>
      <c r="C56" s="5">
        <f t="shared" si="3"/>
        <v>530.2734375</v>
      </c>
      <c r="D56">
        <v>9900</v>
      </c>
      <c r="E56">
        <v>9907</v>
      </c>
      <c r="F56">
        <f t="shared" si="1"/>
        <v>7</v>
      </c>
      <c r="G56" s="4">
        <f t="shared" si="2"/>
        <v>2.4</v>
      </c>
    </row>
    <row r="57" spans="1:7" x14ac:dyDescent="0.25">
      <c r="A57" s="6">
        <v>100</v>
      </c>
      <c r="B57" s="6">
        <f t="shared" si="4"/>
        <v>174</v>
      </c>
      <c r="C57" s="7">
        <f t="shared" si="3"/>
        <v>509.765625</v>
      </c>
      <c r="D57" s="6">
        <v>10000</v>
      </c>
      <c r="E57" s="6">
        <v>10002</v>
      </c>
      <c r="F57" s="6">
        <f t="shared" si="1"/>
        <v>2</v>
      </c>
      <c r="G57" s="9">
        <f t="shared" si="2"/>
        <v>0.7</v>
      </c>
    </row>
    <row r="58" spans="1:7" x14ac:dyDescent="0.25">
      <c r="A58">
        <v>101</v>
      </c>
      <c r="B58">
        <f t="shared" si="4"/>
        <v>168</v>
      </c>
      <c r="C58" s="5">
        <f t="shared" si="3"/>
        <v>492.1875</v>
      </c>
      <c r="D58">
        <v>10100</v>
      </c>
      <c r="E58">
        <v>10112</v>
      </c>
      <c r="F58">
        <f t="shared" si="1"/>
        <v>12</v>
      </c>
      <c r="G58" s="4">
        <f t="shared" si="2"/>
        <v>4.0999999999999996</v>
      </c>
    </row>
    <row r="59" spans="1:7" x14ac:dyDescent="0.25">
      <c r="A59">
        <v>102</v>
      </c>
      <c r="B59">
        <f t="shared" si="4"/>
        <v>162</v>
      </c>
      <c r="C59" s="5">
        <f t="shared" si="3"/>
        <v>474.609375</v>
      </c>
      <c r="D59">
        <v>10200</v>
      </c>
      <c r="E59">
        <v>10206</v>
      </c>
      <c r="F59">
        <f t="shared" si="1"/>
        <v>6</v>
      </c>
      <c r="G59" s="4">
        <f t="shared" si="2"/>
        <v>2</v>
      </c>
    </row>
    <row r="60" spans="1:7" x14ac:dyDescent="0.25">
      <c r="A60">
        <v>103</v>
      </c>
      <c r="B60">
        <f t="shared" si="4"/>
        <v>155</v>
      </c>
      <c r="C60" s="5">
        <f t="shared" si="3"/>
        <v>454.1015625</v>
      </c>
      <c r="D60">
        <v>10300</v>
      </c>
      <c r="E60">
        <v>10301</v>
      </c>
      <c r="F60">
        <f t="shared" si="1"/>
        <v>1</v>
      </c>
      <c r="G60" s="4">
        <f t="shared" si="2"/>
        <v>0.3</v>
      </c>
    </row>
    <row r="61" spans="1:7" x14ac:dyDescent="0.25">
      <c r="A61">
        <v>104</v>
      </c>
      <c r="B61">
        <f t="shared" si="4"/>
        <v>149</v>
      </c>
      <c r="C61" s="5">
        <f t="shared" si="3"/>
        <v>436.5234375</v>
      </c>
      <c r="D61">
        <v>10400</v>
      </c>
      <c r="E61">
        <v>10396</v>
      </c>
      <c r="F61">
        <f t="shared" si="1"/>
        <v>-4</v>
      </c>
      <c r="G61" s="4">
        <f t="shared" si="2"/>
        <v>-1.4</v>
      </c>
    </row>
    <row r="62" spans="1:7" x14ac:dyDescent="0.25">
      <c r="A62">
        <v>105</v>
      </c>
      <c r="B62">
        <f t="shared" si="4"/>
        <v>143</v>
      </c>
      <c r="C62" s="5">
        <f t="shared" si="3"/>
        <v>418.9453125</v>
      </c>
      <c r="D62">
        <v>10500</v>
      </c>
      <c r="E62">
        <v>10507</v>
      </c>
      <c r="F62">
        <f t="shared" si="1"/>
        <v>7</v>
      </c>
      <c r="G62" s="4">
        <f t="shared" si="2"/>
        <v>2.4</v>
      </c>
    </row>
    <row r="63" spans="1:7" x14ac:dyDescent="0.25">
      <c r="A63">
        <v>106</v>
      </c>
      <c r="B63">
        <f t="shared" si="4"/>
        <v>136</v>
      </c>
      <c r="C63" s="5">
        <f t="shared" si="3"/>
        <v>398.4375</v>
      </c>
      <c r="D63">
        <v>10600</v>
      </c>
      <c r="E63">
        <v>10602</v>
      </c>
      <c r="F63">
        <f t="shared" si="1"/>
        <v>2</v>
      </c>
      <c r="G63" s="4">
        <f t="shared" si="2"/>
        <v>0.7</v>
      </c>
    </row>
    <row r="64" spans="1:7" x14ac:dyDescent="0.25">
      <c r="A64">
        <v>107</v>
      </c>
      <c r="B64">
        <f t="shared" si="4"/>
        <v>130</v>
      </c>
      <c r="C64" s="5">
        <f t="shared" si="3"/>
        <v>380.859375</v>
      </c>
      <c r="D64">
        <v>10700</v>
      </c>
      <c r="E64">
        <v>10697</v>
      </c>
      <c r="F64">
        <f t="shared" si="1"/>
        <v>-3</v>
      </c>
      <c r="G64" s="4">
        <f t="shared" si="2"/>
        <v>-1</v>
      </c>
    </row>
    <row r="65" spans="1:7" x14ac:dyDescent="0.25">
      <c r="A65">
        <v>108</v>
      </c>
      <c r="B65">
        <f t="shared" si="4"/>
        <v>124</v>
      </c>
      <c r="C65" s="5">
        <f t="shared" si="3"/>
        <v>363.28125</v>
      </c>
      <c r="D65">
        <v>10800</v>
      </c>
      <c r="E65">
        <v>10808</v>
      </c>
      <c r="F65">
        <f t="shared" si="1"/>
        <v>8</v>
      </c>
      <c r="G65" s="4">
        <f t="shared" si="2"/>
        <v>2.7</v>
      </c>
    </row>
    <row r="66" spans="1:7" x14ac:dyDescent="0.25">
      <c r="A66">
        <v>109</v>
      </c>
      <c r="B66">
        <f t="shared" si="4"/>
        <v>117</v>
      </c>
      <c r="C66" s="5">
        <f t="shared" si="3"/>
        <v>342.7734375</v>
      </c>
      <c r="D66">
        <v>10900</v>
      </c>
      <c r="E66">
        <v>10903</v>
      </c>
      <c r="F66">
        <f t="shared" si="1"/>
        <v>3</v>
      </c>
      <c r="G66" s="4">
        <f t="shared" si="2"/>
        <v>1</v>
      </c>
    </row>
    <row r="67" spans="1:7" x14ac:dyDescent="0.25">
      <c r="A67" s="6">
        <v>110</v>
      </c>
      <c r="B67" s="6">
        <f t="shared" si="4"/>
        <v>111</v>
      </c>
      <c r="C67" s="7">
        <f t="shared" si="3"/>
        <v>325.1953125</v>
      </c>
      <c r="D67" s="6">
        <v>11000</v>
      </c>
      <c r="E67" s="6">
        <v>10999</v>
      </c>
      <c r="F67" s="6">
        <f t="shared" si="1"/>
        <v>-1</v>
      </c>
      <c r="G67" s="9">
        <f t="shared" si="2"/>
        <v>-0.3</v>
      </c>
    </row>
    <row r="68" spans="1:7" x14ac:dyDescent="0.25">
      <c r="A68">
        <v>111</v>
      </c>
      <c r="B68">
        <f t="shared" si="4"/>
        <v>105</v>
      </c>
      <c r="C68" s="5">
        <f t="shared" si="3"/>
        <v>307.6171875</v>
      </c>
      <c r="D68">
        <v>11100</v>
      </c>
      <c r="E68">
        <v>11109</v>
      </c>
      <c r="F68">
        <f t="shared" si="1"/>
        <v>9</v>
      </c>
      <c r="G68" s="4">
        <f t="shared" si="2"/>
        <v>3.1</v>
      </c>
    </row>
    <row r="69" spans="1:7" x14ac:dyDescent="0.25">
      <c r="A69">
        <v>112</v>
      </c>
      <c r="B69">
        <f t="shared" si="4"/>
        <v>99</v>
      </c>
      <c r="C69" s="5">
        <f t="shared" si="3"/>
        <v>290.0390625</v>
      </c>
      <c r="D69">
        <v>11200</v>
      </c>
      <c r="E69">
        <v>11203</v>
      </c>
      <c r="F69">
        <f t="shared" si="1"/>
        <v>3</v>
      </c>
      <c r="G69" s="4">
        <f t="shared" si="2"/>
        <v>1</v>
      </c>
    </row>
    <row r="70" spans="1:7" x14ac:dyDescent="0.25">
      <c r="A70">
        <v>113</v>
      </c>
      <c r="B70">
        <f t="shared" si="4"/>
        <v>92</v>
      </c>
      <c r="C70" s="5">
        <f t="shared" si="3"/>
        <v>269.53125</v>
      </c>
      <c r="D70">
        <v>11300</v>
      </c>
      <c r="E70">
        <v>11299</v>
      </c>
      <c r="F70">
        <f t="shared" si="1"/>
        <v>-1</v>
      </c>
      <c r="G70" s="4">
        <f t="shared" si="2"/>
        <v>-0.3</v>
      </c>
    </row>
    <row r="71" spans="1:7" x14ac:dyDescent="0.25">
      <c r="A71">
        <v>114</v>
      </c>
      <c r="B71">
        <f t="shared" ref="B71:B77" si="5">ROUND($E$4-(((A71-$B$2)*($E$4-$E$3))/($B$1-$B$2)),0)</f>
        <v>86</v>
      </c>
      <c r="C71" s="5">
        <f t="shared" si="3"/>
        <v>251.953125</v>
      </c>
      <c r="D71">
        <v>11400</v>
      </c>
      <c r="E71">
        <v>11409</v>
      </c>
      <c r="F71">
        <f t="shared" si="1"/>
        <v>9</v>
      </c>
      <c r="G71" s="4">
        <f t="shared" si="2"/>
        <v>3.1</v>
      </c>
    </row>
    <row r="72" spans="1:7" x14ac:dyDescent="0.25">
      <c r="A72">
        <v>115</v>
      </c>
      <c r="B72">
        <f t="shared" si="5"/>
        <v>80</v>
      </c>
      <c r="C72" s="5">
        <f t="shared" si="3"/>
        <v>234.375</v>
      </c>
      <c r="D72">
        <v>11500</v>
      </c>
      <c r="E72">
        <v>11506</v>
      </c>
      <c r="F72">
        <f t="shared" ref="F72:F77" si="6">E72-D72</f>
        <v>6</v>
      </c>
      <c r="G72" s="4">
        <f t="shared" ref="G72:G77" si="7">ROUND(F72/$I$2,1)</f>
        <v>2</v>
      </c>
    </row>
    <row r="73" spans="1:7" x14ac:dyDescent="0.25">
      <c r="A73">
        <v>116</v>
      </c>
      <c r="B73">
        <f t="shared" si="5"/>
        <v>73</v>
      </c>
      <c r="C73" s="5">
        <f t="shared" ref="C73:C77" si="8">B73*$E$1/$E$2</f>
        <v>213.8671875</v>
      </c>
      <c r="D73">
        <v>11600</v>
      </c>
      <c r="E73">
        <v>11601</v>
      </c>
      <c r="F73">
        <f t="shared" si="6"/>
        <v>1</v>
      </c>
      <c r="G73" s="4">
        <f t="shared" si="7"/>
        <v>0.3</v>
      </c>
    </row>
    <row r="74" spans="1:7" x14ac:dyDescent="0.25">
      <c r="A74">
        <v>117</v>
      </c>
      <c r="B74">
        <f t="shared" si="5"/>
        <v>67</v>
      </c>
      <c r="C74" s="5">
        <f t="shared" si="8"/>
        <v>196.2890625</v>
      </c>
      <c r="D74">
        <v>11700</v>
      </c>
      <c r="E74">
        <v>11712</v>
      </c>
      <c r="F74">
        <f t="shared" si="6"/>
        <v>12</v>
      </c>
      <c r="G74" s="4">
        <f t="shared" si="7"/>
        <v>4.0999999999999996</v>
      </c>
    </row>
    <row r="75" spans="1:7" x14ac:dyDescent="0.25">
      <c r="A75">
        <v>118</v>
      </c>
      <c r="B75">
        <f t="shared" si="5"/>
        <v>61</v>
      </c>
      <c r="C75" s="5">
        <f t="shared" si="8"/>
        <v>178.7109375</v>
      </c>
      <c r="D75">
        <v>11800</v>
      </c>
      <c r="E75">
        <v>11808</v>
      </c>
      <c r="F75">
        <f t="shared" si="6"/>
        <v>8</v>
      </c>
      <c r="G75" s="4">
        <f t="shared" si="7"/>
        <v>2.7</v>
      </c>
    </row>
    <row r="76" spans="1:7" x14ac:dyDescent="0.25">
      <c r="A76">
        <v>119</v>
      </c>
      <c r="B76">
        <f t="shared" si="5"/>
        <v>54</v>
      </c>
      <c r="C76" s="5">
        <f t="shared" si="8"/>
        <v>158.203125</v>
      </c>
      <c r="D76">
        <v>11900</v>
      </c>
      <c r="E76">
        <v>11902</v>
      </c>
      <c r="F76">
        <f t="shared" si="6"/>
        <v>2</v>
      </c>
      <c r="G76" s="4">
        <f t="shared" si="7"/>
        <v>0.7</v>
      </c>
    </row>
    <row r="77" spans="1:7" x14ac:dyDescent="0.25">
      <c r="A77" s="6">
        <v>120</v>
      </c>
      <c r="B77" s="6">
        <f t="shared" si="5"/>
        <v>48</v>
      </c>
      <c r="C77" s="7">
        <f t="shared" si="8"/>
        <v>140.625</v>
      </c>
      <c r="D77" s="6">
        <v>12000</v>
      </c>
      <c r="E77" s="6">
        <v>12013</v>
      </c>
      <c r="F77" s="6">
        <f t="shared" si="6"/>
        <v>13</v>
      </c>
      <c r="G77" s="9">
        <f t="shared" si="7"/>
        <v>4.4000000000000004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3C88-A9BB-4F41-B0BE-889B3645BB98}">
  <dimension ref="A1:J77"/>
  <sheetViews>
    <sheetView topLeftCell="A36" workbookViewId="0">
      <selection activeCell="A3" sqref="A3:B3"/>
    </sheetView>
  </sheetViews>
  <sheetFormatPr baseColWidth="10" defaultRowHeight="15" x14ac:dyDescent="0.25"/>
  <cols>
    <col min="1" max="1" width="14.28515625" bestFit="1" customWidth="1"/>
    <col min="3" max="3" width="11.5703125" customWidth="1"/>
    <col min="4" max="4" width="12.42578125" customWidth="1"/>
    <col min="5" max="5" width="14.7109375" customWidth="1"/>
    <col min="6" max="6" width="9.7109375" bestFit="1" customWidth="1"/>
    <col min="7" max="7" width="6" bestFit="1" customWidth="1"/>
    <col min="8" max="8" width="20.7109375" bestFit="1" customWidth="1"/>
    <col min="9" max="9" width="4.5703125" bestFit="1" customWidth="1"/>
  </cols>
  <sheetData>
    <row r="1" spans="1:10" x14ac:dyDescent="0.25">
      <c r="A1" t="s">
        <v>8</v>
      </c>
      <c r="B1">
        <v>120</v>
      </c>
      <c r="D1" t="s">
        <v>2</v>
      </c>
      <c r="E1">
        <v>3300</v>
      </c>
      <c r="F1" t="s">
        <v>3</v>
      </c>
    </row>
    <row r="2" spans="1:10" x14ac:dyDescent="0.25">
      <c r="A2" t="s">
        <v>9</v>
      </c>
      <c r="B2">
        <v>50</v>
      </c>
      <c r="D2" t="s">
        <v>1</v>
      </c>
      <c r="E2">
        <v>4096</v>
      </c>
      <c r="F2" t="s">
        <v>4</v>
      </c>
      <c r="H2" t="s">
        <v>18</v>
      </c>
      <c r="I2" s="3">
        <f>E1/E2</f>
        <v>0.8056640625</v>
      </c>
      <c r="J2" t="s">
        <v>12</v>
      </c>
    </row>
    <row r="3" spans="1:10" x14ac:dyDescent="0.25">
      <c r="A3" t="s">
        <v>10</v>
      </c>
      <c r="B3">
        <v>140</v>
      </c>
      <c r="C3" t="s">
        <v>12</v>
      </c>
      <c r="D3" t="s">
        <v>6</v>
      </c>
      <c r="E3">
        <f>ROUND(B3*E2/E1,0)</f>
        <v>174</v>
      </c>
    </row>
    <row r="4" spans="1:10" x14ac:dyDescent="0.25">
      <c r="A4" t="s">
        <v>11</v>
      </c>
      <c r="B4">
        <v>1435</v>
      </c>
      <c r="C4" t="s">
        <v>12</v>
      </c>
      <c r="D4" t="s">
        <v>5</v>
      </c>
      <c r="E4">
        <f>ROUND( B4*E2/E1,0)</f>
        <v>1781</v>
      </c>
    </row>
    <row r="5" spans="1:10" s="8" customFormat="1" x14ac:dyDescent="0.25"/>
    <row r="6" spans="1:10" s="1" customFormat="1" ht="30" x14ac:dyDescent="0.25">
      <c r="A6" s="1" t="s">
        <v>7</v>
      </c>
      <c r="B6" s="2" t="s">
        <v>0</v>
      </c>
      <c r="C6" s="2" t="s">
        <v>13</v>
      </c>
      <c r="D6" s="2" t="s">
        <v>14</v>
      </c>
      <c r="E6" s="2" t="s">
        <v>15</v>
      </c>
      <c r="F6" s="2" t="s">
        <v>17</v>
      </c>
      <c r="G6" s="1" t="s">
        <v>19</v>
      </c>
    </row>
    <row r="7" spans="1:10" x14ac:dyDescent="0.25">
      <c r="A7" s="6">
        <v>50</v>
      </c>
      <c r="B7" s="6">
        <f t="shared" ref="B7:B70" si="0">ROUND($E$4-(((A7-$B$2)*($E$4-$E$3))/($B$1-$B$2)),0)</f>
        <v>1781</v>
      </c>
      <c r="C7" s="7">
        <f>B7*$E$1/$E$2</f>
        <v>1434.8876953125</v>
      </c>
      <c r="D7" s="6">
        <v>5000</v>
      </c>
      <c r="E7" s="6">
        <v>5016</v>
      </c>
      <c r="F7" s="6">
        <f>E7-D7</f>
        <v>16</v>
      </c>
      <c r="G7" s="9">
        <f>ROUND(F7/$I$2,1)</f>
        <v>19.899999999999999</v>
      </c>
    </row>
    <row r="8" spans="1:10" x14ac:dyDescent="0.25">
      <c r="A8">
        <v>51</v>
      </c>
      <c r="B8">
        <f t="shared" si="0"/>
        <v>1758</v>
      </c>
      <c r="C8" s="5">
        <f>B8*$E$1/$E$2</f>
        <v>1416.357421875</v>
      </c>
      <c r="D8">
        <v>5100</v>
      </c>
      <c r="E8">
        <v>5109</v>
      </c>
      <c r="F8">
        <f t="shared" ref="F8:F71" si="1">E8-D8</f>
        <v>9</v>
      </c>
      <c r="G8" s="4">
        <f t="shared" ref="G8:G71" si="2">ROUND(F8/$I$2,1)</f>
        <v>11.2</v>
      </c>
    </row>
    <row r="9" spans="1:10" x14ac:dyDescent="0.25">
      <c r="A9">
        <v>52</v>
      </c>
      <c r="B9">
        <f t="shared" si="0"/>
        <v>1735</v>
      </c>
      <c r="C9" s="5">
        <f t="shared" ref="C9:C72" si="3">B9*$E$1/$E$2</f>
        <v>1397.8271484375</v>
      </c>
      <c r="D9">
        <v>5200</v>
      </c>
      <c r="E9">
        <v>5204</v>
      </c>
      <c r="F9">
        <f t="shared" si="1"/>
        <v>4</v>
      </c>
      <c r="G9" s="4">
        <f t="shared" si="2"/>
        <v>5</v>
      </c>
    </row>
    <row r="10" spans="1:10" x14ac:dyDescent="0.25">
      <c r="A10">
        <v>53</v>
      </c>
      <c r="B10">
        <f t="shared" si="0"/>
        <v>1712</v>
      </c>
      <c r="C10" s="5">
        <f t="shared" si="3"/>
        <v>1379.296875</v>
      </c>
      <c r="D10">
        <v>5300</v>
      </c>
      <c r="E10">
        <v>5300</v>
      </c>
      <c r="F10">
        <f t="shared" si="1"/>
        <v>0</v>
      </c>
      <c r="G10" s="4">
        <f t="shared" si="2"/>
        <v>0</v>
      </c>
    </row>
    <row r="11" spans="1:10" x14ac:dyDescent="0.25">
      <c r="A11">
        <v>54</v>
      </c>
      <c r="B11">
        <f t="shared" si="0"/>
        <v>1689</v>
      </c>
      <c r="C11" s="5">
        <f t="shared" si="3"/>
        <v>1360.7666015625</v>
      </c>
      <c r="D11">
        <v>5400</v>
      </c>
      <c r="E11">
        <v>5409</v>
      </c>
      <c r="F11">
        <f t="shared" si="1"/>
        <v>9</v>
      </c>
      <c r="G11" s="4">
        <f t="shared" si="2"/>
        <v>11.2</v>
      </c>
    </row>
    <row r="12" spans="1:10" x14ac:dyDescent="0.25">
      <c r="A12">
        <v>55</v>
      </c>
      <c r="B12">
        <f t="shared" si="0"/>
        <v>1666</v>
      </c>
      <c r="C12" s="5">
        <f t="shared" si="3"/>
        <v>1342.236328125</v>
      </c>
      <c r="D12">
        <v>5500</v>
      </c>
      <c r="E12">
        <v>5503</v>
      </c>
      <c r="F12">
        <f t="shared" si="1"/>
        <v>3</v>
      </c>
      <c r="G12" s="4">
        <f t="shared" si="2"/>
        <v>3.7</v>
      </c>
    </row>
    <row r="13" spans="1:10" x14ac:dyDescent="0.25">
      <c r="A13">
        <v>56</v>
      </c>
      <c r="B13">
        <f t="shared" si="0"/>
        <v>1643</v>
      </c>
      <c r="C13" s="5">
        <f t="shared" si="3"/>
        <v>1323.7060546875</v>
      </c>
      <c r="D13">
        <v>5600</v>
      </c>
      <c r="E13">
        <v>5598</v>
      </c>
      <c r="F13">
        <f t="shared" si="1"/>
        <v>-2</v>
      </c>
      <c r="G13" s="4">
        <f t="shared" si="2"/>
        <v>-2.5</v>
      </c>
    </row>
    <row r="14" spans="1:10" x14ac:dyDescent="0.25">
      <c r="A14">
        <v>57</v>
      </c>
      <c r="B14">
        <f t="shared" si="0"/>
        <v>1620</v>
      </c>
      <c r="C14" s="5">
        <f t="shared" si="3"/>
        <v>1305.17578125</v>
      </c>
      <c r="D14">
        <v>5700</v>
      </c>
      <c r="E14">
        <v>5710</v>
      </c>
      <c r="F14">
        <f t="shared" si="1"/>
        <v>10</v>
      </c>
      <c r="G14" s="4">
        <f t="shared" si="2"/>
        <v>12.4</v>
      </c>
    </row>
    <row r="15" spans="1:10" x14ac:dyDescent="0.25">
      <c r="A15">
        <v>58</v>
      </c>
      <c r="B15">
        <f t="shared" si="0"/>
        <v>1597</v>
      </c>
      <c r="C15" s="5">
        <f t="shared" si="3"/>
        <v>1286.6455078125</v>
      </c>
      <c r="D15">
        <v>5800</v>
      </c>
      <c r="E15">
        <v>5804</v>
      </c>
      <c r="F15">
        <f t="shared" si="1"/>
        <v>4</v>
      </c>
      <c r="G15" s="4">
        <f t="shared" si="2"/>
        <v>5</v>
      </c>
    </row>
    <row r="16" spans="1:10" x14ac:dyDescent="0.25">
      <c r="A16">
        <v>59</v>
      </c>
      <c r="B16">
        <f t="shared" si="0"/>
        <v>1574</v>
      </c>
      <c r="C16" s="5">
        <f t="shared" si="3"/>
        <v>1268.115234375</v>
      </c>
      <c r="D16">
        <v>5900</v>
      </c>
      <c r="E16">
        <v>5899</v>
      </c>
      <c r="F16">
        <f t="shared" si="1"/>
        <v>-1</v>
      </c>
      <c r="G16" s="4">
        <f t="shared" si="2"/>
        <v>-1.2</v>
      </c>
    </row>
    <row r="17" spans="1:7" x14ac:dyDescent="0.25">
      <c r="A17" s="6">
        <v>60</v>
      </c>
      <c r="B17" s="6">
        <f t="shared" si="0"/>
        <v>1551</v>
      </c>
      <c r="C17" s="7">
        <f t="shared" si="3"/>
        <v>1249.5849609375</v>
      </c>
      <c r="D17" s="6">
        <v>6000</v>
      </c>
      <c r="E17" s="6">
        <v>6010</v>
      </c>
      <c r="F17" s="6">
        <f t="shared" si="1"/>
        <v>10</v>
      </c>
      <c r="G17" s="9">
        <f t="shared" si="2"/>
        <v>12.4</v>
      </c>
    </row>
    <row r="18" spans="1:7" x14ac:dyDescent="0.25">
      <c r="A18">
        <v>61</v>
      </c>
      <c r="B18">
        <f t="shared" si="0"/>
        <v>1528</v>
      </c>
      <c r="C18" s="5">
        <f t="shared" si="3"/>
        <v>1231.0546875</v>
      </c>
      <c r="D18">
        <v>6100</v>
      </c>
      <c r="E18">
        <v>6104</v>
      </c>
      <c r="F18">
        <f t="shared" si="1"/>
        <v>4</v>
      </c>
      <c r="G18" s="4">
        <f t="shared" si="2"/>
        <v>5</v>
      </c>
    </row>
    <row r="19" spans="1:7" x14ac:dyDescent="0.25">
      <c r="A19">
        <v>62</v>
      </c>
      <c r="B19">
        <f t="shared" si="0"/>
        <v>1506</v>
      </c>
      <c r="C19" s="5">
        <f t="shared" si="3"/>
        <v>1213.330078125</v>
      </c>
      <c r="D19">
        <v>6200</v>
      </c>
      <c r="E19">
        <v>6200</v>
      </c>
      <c r="F19">
        <f t="shared" si="1"/>
        <v>0</v>
      </c>
      <c r="G19" s="4">
        <f t="shared" si="2"/>
        <v>0</v>
      </c>
    </row>
    <row r="20" spans="1:7" x14ac:dyDescent="0.25">
      <c r="A20">
        <v>63</v>
      </c>
      <c r="B20">
        <f t="shared" si="0"/>
        <v>1483</v>
      </c>
      <c r="C20" s="5">
        <f t="shared" si="3"/>
        <v>1194.7998046875</v>
      </c>
      <c r="D20">
        <v>6300</v>
      </c>
      <c r="E20">
        <v>6310</v>
      </c>
      <c r="F20">
        <f t="shared" si="1"/>
        <v>10</v>
      </c>
      <c r="G20" s="4">
        <f t="shared" si="2"/>
        <v>12.4</v>
      </c>
    </row>
    <row r="21" spans="1:7" x14ac:dyDescent="0.25">
      <c r="A21">
        <v>64</v>
      </c>
      <c r="B21">
        <f t="shared" si="0"/>
        <v>1460</v>
      </c>
      <c r="C21" s="5">
        <f t="shared" si="3"/>
        <v>1176.26953125</v>
      </c>
      <c r="D21">
        <v>6400</v>
      </c>
      <c r="E21">
        <v>6404</v>
      </c>
      <c r="F21">
        <f t="shared" si="1"/>
        <v>4</v>
      </c>
      <c r="G21" s="4">
        <f t="shared" si="2"/>
        <v>5</v>
      </c>
    </row>
    <row r="22" spans="1:7" x14ac:dyDescent="0.25">
      <c r="A22">
        <v>65</v>
      </c>
      <c r="B22">
        <f t="shared" si="0"/>
        <v>1437</v>
      </c>
      <c r="C22" s="5">
        <f t="shared" si="3"/>
        <v>1157.7392578125</v>
      </c>
      <c r="D22">
        <v>6500</v>
      </c>
      <c r="E22">
        <v>6500</v>
      </c>
      <c r="F22">
        <f t="shared" si="1"/>
        <v>0</v>
      </c>
      <c r="G22" s="4">
        <f t="shared" si="2"/>
        <v>0</v>
      </c>
    </row>
    <row r="23" spans="1:7" x14ac:dyDescent="0.25">
      <c r="A23">
        <v>66</v>
      </c>
      <c r="B23">
        <f t="shared" si="0"/>
        <v>1414</v>
      </c>
      <c r="C23" s="5">
        <f t="shared" si="3"/>
        <v>1139.208984375</v>
      </c>
      <c r="D23">
        <v>6600</v>
      </c>
      <c r="E23">
        <v>6609</v>
      </c>
      <c r="F23">
        <f t="shared" si="1"/>
        <v>9</v>
      </c>
      <c r="G23" s="4">
        <f t="shared" si="2"/>
        <v>11.2</v>
      </c>
    </row>
    <row r="24" spans="1:7" x14ac:dyDescent="0.25">
      <c r="A24">
        <v>67</v>
      </c>
      <c r="B24">
        <f t="shared" si="0"/>
        <v>1391</v>
      </c>
      <c r="C24" s="5">
        <f t="shared" si="3"/>
        <v>1120.6787109375</v>
      </c>
      <c r="D24">
        <v>6700</v>
      </c>
      <c r="E24">
        <v>6704</v>
      </c>
      <c r="F24">
        <f t="shared" si="1"/>
        <v>4</v>
      </c>
      <c r="G24" s="4">
        <f t="shared" si="2"/>
        <v>5</v>
      </c>
    </row>
    <row r="25" spans="1:7" x14ac:dyDescent="0.25">
      <c r="A25">
        <v>68</v>
      </c>
      <c r="B25">
        <f t="shared" si="0"/>
        <v>1368</v>
      </c>
      <c r="C25" s="5">
        <f t="shared" si="3"/>
        <v>1102.1484375</v>
      </c>
      <c r="D25">
        <v>6800</v>
      </c>
      <c r="E25">
        <v>6799</v>
      </c>
      <c r="F25">
        <f t="shared" si="1"/>
        <v>-1</v>
      </c>
      <c r="G25" s="4">
        <f t="shared" si="2"/>
        <v>-1.2</v>
      </c>
    </row>
    <row r="26" spans="1:7" x14ac:dyDescent="0.25">
      <c r="A26">
        <v>69</v>
      </c>
      <c r="B26">
        <f t="shared" si="0"/>
        <v>1345</v>
      </c>
      <c r="C26" s="5">
        <f t="shared" si="3"/>
        <v>1083.6181640625</v>
      </c>
      <c r="D26">
        <v>6900</v>
      </c>
      <c r="E26">
        <v>6893</v>
      </c>
      <c r="F26">
        <f t="shared" si="1"/>
        <v>-7</v>
      </c>
      <c r="G26" s="4">
        <f t="shared" si="2"/>
        <v>-8.6999999999999993</v>
      </c>
    </row>
    <row r="27" spans="1:7" x14ac:dyDescent="0.25">
      <c r="A27" s="6">
        <v>70</v>
      </c>
      <c r="B27" s="6">
        <f t="shared" si="0"/>
        <v>1322</v>
      </c>
      <c r="C27" s="7">
        <f t="shared" si="3"/>
        <v>1065.087890625</v>
      </c>
      <c r="D27" s="6">
        <v>7000</v>
      </c>
      <c r="E27" s="6">
        <v>7005</v>
      </c>
      <c r="F27" s="6">
        <f t="shared" si="1"/>
        <v>5</v>
      </c>
      <c r="G27" s="9">
        <f t="shared" si="2"/>
        <v>6.2</v>
      </c>
    </row>
    <row r="28" spans="1:7" x14ac:dyDescent="0.25">
      <c r="A28">
        <v>71</v>
      </c>
      <c r="B28">
        <f t="shared" si="0"/>
        <v>1299</v>
      </c>
      <c r="C28" s="5">
        <f t="shared" si="3"/>
        <v>1046.5576171875</v>
      </c>
      <c r="D28">
        <v>7100</v>
      </c>
      <c r="E28">
        <v>7101</v>
      </c>
      <c r="F28">
        <f t="shared" si="1"/>
        <v>1</v>
      </c>
      <c r="G28" s="4">
        <f t="shared" si="2"/>
        <v>1.2</v>
      </c>
    </row>
    <row r="29" spans="1:7" x14ac:dyDescent="0.25">
      <c r="A29">
        <v>72</v>
      </c>
      <c r="B29">
        <f t="shared" si="0"/>
        <v>1276</v>
      </c>
      <c r="C29" s="5">
        <f t="shared" si="3"/>
        <v>1028.02734375</v>
      </c>
      <c r="D29">
        <v>7200</v>
      </c>
      <c r="E29">
        <v>7198</v>
      </c>
      <c r="F29">
        <f t="shared" si="1"/>
        <v>-2</v>
      </c>
      <c r="G29" s="4">
        <f t="shared" si="2"/>
        <v>-2.5</v>
      </c>
    </row>
    <row r="30" spans="1:7" x14ac:dyDescent="0.25">
      <c r="A30">
        <v>73</v>
      </c>
      <c r="B30">
        <f t="shared" si="0"/>
        <v>1253</v>
      </c>
      <c r="C30" s="5">
        <f t="shared" si="3"/>
        <v>1009.4970703125</v>
      </c>
      <c r="D30">
        <v>7300</v>
      </c>
      <c r="E30">
        <v>7308</v>
      </c>
      <c r="F30">
        <f t="shared" si="1"/>
        <v>8</v>
      </c>
      <c r="G30" s="4">
        <f t="shared" si="2"/>
        <v>9.9</v>
      </c>
    </row>
    <row r="31" spans="1:7" x14ac:dyDescent="0.25">
      <c r="A31">
        <v>74</v>
      </c>
      <c r="B31">
        <f t="shared" si="0"/>
        <v>1230</v>
      </c>
      <c r="C31" s="5">
        <f t="shared" si="3"/>
        <v>990.966796875</v>
      </c>
      <c r="D31">
        <v>7400</v>
      </c>
      <c r="E31">
        <v>7403</v>
      </c>
      <c r="F31">
        <f t="shared" si="1"/>
        <v>3</v>
      </c>
      <c r="G31" s="4">
        <f t="shared" si="2"/>
        <v>3.7</v>
      </c>
    </row>
    <row r="32" spans="1:7" x14ac:dyDescent="0.25">
      <c r="A32">
        <v>75</v>
      </c>
      <c r="B32">
        <f t="shared" si="0"/>
        <v>1207</v>
      </c>
      <c r="C32" s="5">
        <f t="shared" si="3"/>
        <v>972.4365234375</v>
      </c>
      <c r="D32">
        <v>7500</v>
      </c>
      <c r="E32">
        <v>7499</v>
      </c>
      <c r="F32">
        <f t="shared" si="1"/>
        <v>-1</v>
      </c>
      <c r="G32" s="4">
        <f t="shared" si="2"/>
        <v>-1.2</v>
      </c>
    </row>
    <row r="33" spans="1:7" x14ac:dyDescent="0.25">
      <c r="A33">
        <v>76</v>
      </c>
      <c r="B33">
        <f t="shared" si="0"/>
        <v>1184</v>
      </c>
      <c r="C33" s="5">
        <f t="shared" si="3"/>
        <v>953.90625</v>
      </c>
      <c r="D33">
        <v>7600</v>
      </c>
      <c r="E33">
        <v>7608</v>
      </c>
      <c r="F33">
        <f t="shared" si="1"/>
        <v>8</v>
      </c>
      <c r="G33" s="4">
        <f t="shared" si="2"/>
        <v>9.9</v>
      </c>
    </row>
    <row r="34" spans="1:7" x14ac:dyDescent="0.25">
      <c r="A34">
        <v>77</v>
      </c>
      <c r="B34">
        <f t="shared" si="0"/>
        <v>1161</v>
      </c>
      <c r="C34" s="5">
        <f t="shared" si="3"/>
        <v>935.3759765625</v>
      </c>
      <c r="D34">
        <v>7700</v>
      </c>
      <c r="E34">
        <v>7704</v>
      </c>
      <c r="F34">
        <f t="shared" si="1"/>
        <v>4</v>
      </c>
      <c r="G34" s="4">
        <f t="shared" si="2"/>
        <v>5</v>
      </c>
    </row>
    <row r="35" spans="1:7" x14ac:dyDescent="0.25">
      <c r="A35">
        <v>78</v>
      </c>
      <c r="B35">
        <f t="shared" si="0"/>
        <v>1138</v>
      </c>
      <c r="C35" s="5">
        <f t="shared" si="3"/>
        <v>916.845703125</v>
      </c>
      <c r="D35">
        <v>7800</v>
      </c>
      <c r="E35">
        <v>7799</v>
      </c>
      <c r="F35">
        <f t="shared" si="1"/>
        <v>-1</v>
      </c>
      <c r="G35" s="4">
        <f t="shared" si="2"/>
        <v>-1.2</v>
      </c>
    </row>
    <row r="36" spans="1:7" x14ac:dyDescent="0.25">
      <c r="A36">
        <v>79</v>
      </c>
      <c r="B36">
        <f t="shared" si="0"/>
        <v>1115</v>
      </c>
      <c r="C36" s="5">
        <f t="shared" si="3"/>
        <v>898.3154296875</v>
      </c>
      <c r="D36">
        <v>7900</v>
      </c>
      <c r="E36">
        <v>7909</v>
      </c>
      <c r="F36">
        <f t="shared" si="1"/>
        <v>9</v>
      </c>
      <c r="G36" s="4">
        <f t="shared" si="2"/>
        <v>11.2</v>
      </c>
    </row>
    <row r="37" spans="1:7" x14ac:dyDescent="0.25">
      <c r="A37" s="6">
        <v>80</v>
      </c>
      <c r="B37" s="6">
        <f t="shared" si="0"/>
        <v>1092</v>
      </c>
      <c r="C37" s="7">
        <f t="shared" si="3"/>
        <v>879.78515625</v>
      </c>
      <c r="D37" s="6">
        <v>8000</v>
      </c>
      <c r="E37" s="6">
        <v>8005</v>
      </c>
      <c r="F37" s="6">
        <f t="shared" si="1"/>
        <v>5</v>
      </c>
      <c r="G37" s="9">
        <f t="shared" si="2"/>
        <v>6.2</v>
      </c>
    </row>
    <row r="38" spans="1:7" x14ac:dyDescent="0.25">
      <c r="A38">
        <v>81</v>
      </c>
      <c r="B38">
        <f t="shared" si="0"/>
        <v>1069</v>
      </c>
      <c r="C38" s="5">
        <f t="shared" si="3"/>
        <v>861.2548828125</v>
      </c>
      <c r="D38">
        <v>8100</v>
      </c>
      <c r="E38">
        <v>8099</v>
      </c>
      <c r="F38">
        <f t="shared" si="1"/>
        <v>-1</v>
      </c>
      <c r="G38" s="4">
        <f t="shared" si="2"/>
        <v>-1.2</v>
      </c>
    </row>
    <row r="39" spans="1:7" x14ac:dyDescent="0.25">
      <c r="A39">
        <v>82</v>
      </c>
      <c r="B39">
        <f t="shared" si="0"/>
        <v>1046</v>
      </c>
      <c r="C39" s="5">
        <f t="shared" si="3"/>
        <v>842.724609375</v>
      </c>
      <c r="D39">
        <v>8200</v>
      </c>
      <c r="E39">
        <v>8211</v>
      </c>
      <c r="F39">
        <f t="shared" si="1"/>
        <v>11</v>
      </c>
      <c r="G39" s="4">
        <f t="shared" si="2"/>
        <v>13.7</v>
      </c>
    </row>
    <row r="40" spans="1:7" x14ac:dyDescent="0.25">
      <c r="A40">
        <v>83</v>
      </c>
      <c r="B40">
        <f t="shared" si="0"/>
        <v>1023</v>
      </c>
      <c r="C40" s="5">
        <f t="shared" si="3"/>
        <v>824.1943359375</v>
      </c>
      <c r="D40">
        <v>8300</v>
      </c>
      <c r="E40">
        <v>8306</v>
      </c>
      <c r="F40">
        <f t="shared" si="1"/>
        <v>6</v>
      </c>
      <c r="G40" s="4">
        <f t="shared" si="2"/>
        <v>7.4</v>
      </c>
    </row>
    <row r="41" spans="1:7" x14ac:dyDescent="0.25">
      <c r="A41">
        <v>84</v>
      </c>
      <c r="B41">
        <f t="shared" si="0"/>
        <v>1000</v>
      </c>
      <c r="C41" s="5">
        <f t="shared" si="3"/>
        <v>805.6640625</v>
      </c>
      <c r="D41">
        <v>8400</v>
      </c>
      <c r="E41">
        <v>8401</v>
      </c>
      <c r="F41">
        <f t="shared" si="1"/>
        <v>1</v>
      </c>
      <c r="G41" s="4">
        <f t="shared" si="2"/>
        <v>1.2</v>
      </c>
    </row>
    <row r="42" spans="1:7" x14ac:dyDescent="0.25">
      <c r="A42">
        <v>85</v>
      </c>
      <c r="B42">
        <f t="shared" si="0"/>
        <v>978</v>
      </c>
      <c r="C42" s="5">
        <f t="shared" si="3"/>
        <v>787.939453125</v>
      </c>
      <c r="D42">
        <v>8500</v>
      </c>
      <c r="E42">
        <v>8514</v>
      </c>
      <c r="F42">
        <f t="shared" si="1"/>
        <v>14</v>
      </c>
      <c r="G42" s="4">
        <f t="shared" si="2"/>
        <v>17.399999999999999</v>
      </c>
    </row>
    <row r="43" spans="1:7" x14ac:dyDescent="0.25">
      <c r="A43">
        <v>86</v>
      </c>
      <c r="B43">
        <f t="shared" si="0"/>
        <v>955</v>
      </c>
      <c r="C43" s="5">
        <f t="shared" si="3"/>
        <v>769.4091796875</v>
      </c>
      <c r="D43">
        <v>8600</v>
      </c>
      <c r="E43">
        <v>8608</v>
      </c>
      <c r="F43">
        <f t="shared" si="1"/>
        <v>8</v>
      </c>
      <c r="G43" s="4">
        <f t="shared" si="2"/>
        <v>9.9</v>
      </c>
    </row>
    <row r="44" spans="1:7" x14ac:dyDescent="0.25">
      <c r="A44">
        <v>87</v>
      </c>
      <c r="B44">
        <f t="shared" si="0"/>
        <v>932</v>
      </c>
      <c r="C44" s="5">
        <f t="shared" si="3"/>
        <v>750.87890625</v>
      </c>
      <c r="D44">
        <v>8700</v>
      </c>
      <c r="E44">
        <v>8703</v>
      </c>
      <c r="F44">
        <f t="shared" si="1"/>
        <v>3</v>
      </c>
      <c r="G44" s="4">
        <f t="shared" si="2"/>
        <v>3.7</v>
      </c>
    </row>
    <row r="45" spans="1:7" x14ac:dyDescent="0.25">
      <c r="A45">
        <v>88</v>
      </c>
      <c r="B45">
        <f t="shared" si="0"/>
        <v>909</v>
      </c>
      <c r="C45" s="5">
        <f t="shared" si="3"/>
        <v>732.3486328125</v>
      </c>
      <c r="D45">
        <v>8800</v>
      </c>
      <c r="E45">
        <v>8799</v>
      </c>
      <c r="F45">
        <f t="shared" si="1"/>
        <v>-1</v>
      </c>
      <c r="G45" s="4">
        <f t="shared" si="2"/>
        <v>-1.2</v>
      </c>
    </row>
    <row r="46" spans="1:7" x14ac:dyDescent="0.25">
      <c r="A46">
        <v>89</v>
      </c>
      <c r="B46">
        <f t="shared" si="0"/>
        <v>886</v>
      </c>
      <c r="C46" s="5">
        <f t="shared" si="3"/>
        <v>713.818359375</v>
      </c>
      <c r="D46">
        <v>8900</v>
      </c>
      <c r="E46">
        <v>8909</v>
      </c>
      <c r="F46">
        <f t="shared" si="1"/>
        <v>9</v>
      </c>
      <c r="G46" s="4">
        <f t="shared" si="2"/>
        <v>11.2</v>
      </c>
    </row>
    <row r="47" spans="1:7" x14ac:dyDescent="0.25">
      <c r="A47" s="6">
        <v>90</v>
      </c>
      <c r="B47" s="6">
        <f t="shared" si="0"/>
        <v>863</v>
      </c>
      <c r="C47" s="7">
        <f t="shared" si="3"/>
        <v>695.2880859375</v>
      </c>
      <c r="D47" s="6">
        <v>9000</v>
      </c>
      <c r="E47" s="6">
        <v>9006</v>
      </c>
      <c r="F47" s="6">
        <f t="shared" si="1"/>
        <v>6</v>
      </c>
      <c r="G47" s="9">
        <f t="shared" si="2"/>
        <v>7.4</v>
      </c>
    </row>
    <row r="48" spans="1:7" x14ac:dyDescent="0.25">
      <c r="A48">
        <v>91</v>
      </c>
      <c r="B48">
        <f t="shared" si="0"/>
        <v>840</v>
      </c>
      <c r="C48" s="5">
        <f t="shared" si="3"/>
        <v>676.7578125</v>
      </c>
      <c r="D48">
        <v>9100</v>
      </c>
      <c r="E48">
        <v>9100</v>
      </c>
      <c r="F48">
        <f t="shared" si="1"/>
        <v>0</v>
      </c>
      <c r="G48" s="4">
        <f t="shared" si="2"/>
        <v>0</v>
      </c>
    </row>
    <row r="49" spans="1:7" x14ac:dyDescent="0.25">
      <c r="A49">
        <v>92</v>
      </c>
      <c r="B49">
        <f t="shared" si="0"/>
        <v>817</v>
      </c>
      <c r="C49" s="5">
        <f t="shared" si="3"/>
        <v>658.2275390625</v>
      </c>
      <c r="D49">
        <v>9200</v>
      </c>
      <c r="E49">
        <v>9211</v>
      </c>
      <c r="F49">
        <f t="shared" si="1"/>
        <v>11</v>
      </c>
      <c r="G49" s="4">
        <f t="shared" si="2"/>
        <v>13.7</v>
      </c>
    </row>
    <row r="50" spans="1:7" x14ac:dyDescent="0.25">
      <c r="A50">
        <v>93</v>
      </c>
      <c r="B50">
        <f t="shared" si="0"/>
        <v>794</v>
      </c>
      <c r="C50" s="5">
        <f t="shared" si="3"/>
        <v>639.697265625</v>
      </c>
      <c r="D50">
        <v>9300</v>
      </c>
      <c r="E50">
        <v>9305</v>
      </c>
      <c r="F50">
        <f t="shared" si="1"/>
        <v>5</v>
      </c>
      <c r="G50" s="4">
        <f t="shared" si="2"/>
        <v>6.2</v>
      </c>
    </row>
    <row r="51" spans="1:7" x14ac:dyDescent="0.25">
      <c r="A51">
        <v>94</v>
      </c>
      <c r="B51">
        <f t="shared" si="0"/>
        <v>771</v>
      </c>
      <c r="C51" s="5">
        <f t="shared" si="3"/>
        <v>621.1669921875</v>
      </c>
      <c r="D51">
        <v>9400</v>
      </c>
      <c r="E51">
        <v>9400</v>
      </c>
      <c r="F51">
        <f t="shared" si="1"/>
        <v>0</v>
      </c>
      <c r="G51" s="4">
        <f t="shared" si="2"/>
        <v>0</v>
      </c>
    </row>
    <row r="52" spans="1:7" x14ac:dyDescent="0.25">
      <c r="A52">
        <v>95</v>
      </c>
      <c r="B52">
        <f t="shared" si="0"/>
        <v>748</v>
      </c>
      <c r="C52" s="5">
        <f t="shared" si="3"/>
        <v>602.63671875</v>
      </c>
      <c r="D52">
        <v>9500</v>
      </c>
      <c r="E52">
        <v>9511</v>
      </c>
      <c r="F52">
        <f t="shared" si="1"/>
        <v>11</v>
      </c>
      <c r="G52" s="4">
        <f t="shared" si="2"/>
        <v>13.7</v>
      </c>
    </row>
    <row r="53" spans="1:7" x14ac:dyDescent="0.25">
      <c r="A53">
        <v>96</v>
      </c>
      <c r="B53">
        <f t="shared" si="0"/>
        <v>725</v>
      </c>
      <c r="C53" s="5">
        <f t="shared" si="3"/>
        <v>584.1064453125</v>
      </c>
      <c r="D53">
        <v>9600</v>
      </c>
      <c r="E53">
        <v>9605</v>
      </c>
      <c r="F53">
        <f t="shared" si="1"/>
        <v>5</v>
      </c>
      <c r="G53" s="4">
        <f t="shared" si="2"/>
        <v>6.2</v>
      </c>
    </row>
    <row r="54" spans="1:7" x14ac:dyDescent="0.25">
      <c r="A54">
        <v>97</v>
      </c>
      <c r="B54">
        <f t="shared" si="0"/>
        <v>702</v>
      </c>
      <c r="C54" s="5">
        <f t="shared" si="3"/>
        <v>565.576171875</v>
      </c>
      <c r="D54">
        <v>9700</v>
      </c>
      <c r="E54">
        <v>9701</v>
      </c>
      <c r="F54">
        <f t="shared" si="1"/>
        <v>1</v>
      </c>
      <c r="G54" s="4">
        <f t="shared" si="2"/>
        <v>1.2</v>
      </c>
    </row>
    <row r="55" spans="1:7" x14ac:dyDescent="0.25">
      <c r="A55">
        <v>98</v>
      </c>
      <c r="B55">
        <f t="shared" si="0"/>
        <v>679</v>
      </c>
      <c r="C55" s="5">
        <f t="shared" si="3"/>
        <v>547.0458984375</v>
      </c>
      <c r="D55">
        <v>9800</v>
      </c>
      <c r="E55">
        <v>9812</v>
      </c>
      <c r="F55">
        <f t="shared" si="1"/>
        <v>12</v>
      </c>
      <c r="G55" s="4">
        <f t="shared" si="2"/>
        <v>14.9</v>
      </c>
    </row>
    <row r="56" spans="1:7" x14ac:dyDescent="0.25">
      <c r="A56">
        <v>99</v>
      </c>
      <c r="B56">
        <f t="shared" si="0"/>
        <v>656</v>
      </c>
      <c r="C56" s="5">
        <f t="shared" si="3"/>
        <v>528.515625</v>
      </c>
      <c r="D56">
        <v>9900</v>
      </c>
      <c r="E56">
        <v>9907</v>
      </c>
      <c r="F56">
        <f t="shared" si="1"/>
        <v>7</v>
      </c>
      <c r="G56" s="4">
        <f t="shared" si="2"/>
        <v>8.6999999999999993</v>
      </c>
    </row>
    <row r="57" spans="1:7" x14ac:dyDescent="0.25">
      <c r="A57" s="6">
        <v>100</v>
      </c>
      <c r="B57" s="6">
        <f t="shared" si="0"/>
        <v>633</v>
      </c>
      <c r="C57" s="7">
        <f t="shared" si="3"/>
        <v>509.9853515625</v>
      </c>
      <c r="D57" s="6">
        <v>10000</v>
      </c>
      <c r="E57" s="6">
        <v>10002</v>
      </c>
      <c r="F57" s="6">
        <f t="shared" si="1"/>
        <v>2</v>
      </c>
      <c r="G57" s="9">
        <f t="shared" si="2"/>
        <v>2.5</v>
      </c>
    </row>
    <row r="58" spans="1:7" x14ac:dyDescent="0.25">
      <c r="A58">
        <v>101</v>
      </c>
      <c r="B58">
        <f t="shared" si="0"/>
        <v>610</v>
      </c>
      <c r="C58" s="5">
        <f t="shared" si="3"/>
        <v>491.455078125</v>
      </c>
      <c r="D58">
        <v>10100</v>
      </c>
      <c r="E58">
        <v>10112</v>
      </c>
      <c r="F58">
        <f t="shared" si="1"/>
        <v>12</v>
      </c>
      <c r="G58" s="4">
        <f t="shared" si="2"/>
        <v>14.9</v>
      </c>
    </row>
    <row r="59" spans="1:7" x14ac:dyDescent="0.25">
      <c r="A59">
        <v>102</v>
      </c>
      <c r="B59">
        <f t="shared" si="0"/>
        <v>587</v>
      </c>
      <c r="C59" s="5">
        <f t="shared" si="3"/>
        <v>472.9248046875</v>
      </c>
      <c r="D59">
        <v>10200</v>
      </c>
      <c r="E59">
        <v>10206</v>
      </c>
      <c r="F59">
        <f t="shared" si="1"/>
        <v>6</v>
      </c>
      <c r="G59" s="4">
        <f t="shared" si="2"/>
        <v>7.4</v>
      </c>
    </row>
    <row r="60" spans="1:7" x14ac:dyDescent="0.25">
      <c r="A60">
        <v>103</v>
      </c>
      <c r="B60">
        <f t="shared" si="0"/>
        <v>564</v>
      </c>
      <c r="C60" s="5">
        <f t="shared" si="3"/>
        <v>454.39453125</v>
      </c>
      <c r="D60">
        <v>10300</v>
      </c>
      <c r="E60">
        <v>10301</v>
      </c>
      <c r="F60">
        <f t="shared" si="1"/>
        <v>1</v>
      </c>
      <c r="G60" s="4">
        <f t="shared" si="2"/>
        <v>1.2</v>
      </c>
    </row>
    <row r="61" spans="1:7" x14ac:dyDescent="0.25">
      <c r="A61">
        <v>104</v>
      </c>
      <c r="B61">
        <f t="shared" si="0"/>
        <v>541</v>
      </c>
      <c r="C61" s="5">
        <f t="shared" si="3"/>
        <v>435.8642578125</v>
      </c>
      <c r="D61">
        <v>10400</v>
      </c>
      <c r="E61">
        <v>10396</v>
      </c>
      <c r="F61">
        <f t="shared" si="1"/>
        <v>-4</v>
      </c>
      <c r="G61" s="4">
        <f t="shared" si="2"/>
        <v>-5</v>
      </c>
    </row>
    <row r="62" spans="1:7" x14ac:dyDescent="0.25">
      <c r="A62">
        <v>105</v>
      </c>
      <c r="B62">
        <f t="shared" si="0"/>
        <v>518</v>
      </c>
      <c r="C62" s="5">
        <f t="shared" si="3"/>
        <v>417.333984375</v>
      </c>
      <c r="D62">
        <v>10500</v>
      </c>
      <c r="E62">
        <v>10507</v>
      </c>
      <c r="F62">
        <f t="shared" si="1"/>
        <v>7</v>
      </c>
      <c r="G62" s="4">
        <f t="shared" si="2"/>
        <v>8.6999999999999993</v>
      </c>
    </row>
    <row r="63" spans="1:7" x14ac:dyDescent="0.25">
      <c r="A63">
        <v>106</v>
      </c>
      <c r="B63">
        <f t="shared" si="0"/>
        <v>495</v>
      </c>
      <c r="C63" s="5">
        <f t="shared" si="3"/>
        <v>398.8037109375</v>
      </c>
      <c r="D63">
        <v>10600</v>
      </c>
      <c r="E63">
        <v>10602</v>
      </c>
      <c r="F63">
        <f t="shared" si="1"/>
        <v>2</v>
      </c>
      <c r="G63" s="4">
        <f t="shared" si="2"/>
        <v>2.5</v>
      </c>
    </row>
    <row r="64" spans="1:7" x14ac:dyDescent="0.25">
      <c r="A64">
        <v>107</v>
      </c>
      <c r="B64">
        <f t="shared" si="0"/>
        <v>472</v>
      </c>
      <c r="C64" s="5">
        <f t="shared" si="3"/>
        <v>380.2734375</v>
      </c>
      <c r="D64">
        <v>10700</v>
      </c>
      <c r="E64">
        <v>10697</v>
      </c>
      <c r="F64">
        <f t="shared" si="1"/>
        <v>-3</v>
      </c>
      <c r="G64" s="4">
        <f t="shared" si="2"/>
        <v>-3.7</v>
      </c>
    </row>
    <row r="65" spans="1:7" x14ac:dyDescent="0.25">
      <c r="A65">
        <v>108</v>
      </c>
      <c r="B65">
        <f t="shared" si="0"/>
        <v>449</v>
      </c>
      <c r="C65" s="5">
        <f t="shared" si="3"/>
        <v>361.7431640625</v>
      </c>
      <c r="D65">
        <v>10800</v>
      </c>
      <c r="E65">
        <v>10808</v>
      </c>
      <c r="F65">
        <f t="shared" si="1"/>
        <v>8</v>
      </c>
      <c r="G65" s="4">
        <f t="shared" si="2"/>
        <v>9.9</v>
      </c>
    </row>
    <row r="66" spans="1:7" x14ac:dyDescent="0.25">
      <c r="A66">
        <v>109</v>
      </c>
      <c r="B66">
        <f t="shared" si="0"/>
        <v>427</v>
      </c>
      <c r="C66" s="5">
        <f t="shared" si="3"/>
        <v>344.0185546875</v>
      </c>
      <c r="D66">
        <v>10900</v>
      </c>
      <c r="E66">
        <v>10903</v>
      </c>
      <c r="F66">
        <f t="shared" si="1"/>
        <v>3</v>
      </c>
      <c r="G66" s="4">
        <f t="shared" si="2"/>
        <v>3.7</v>
      </c>
    </row>
    <row r="67" spans="1:7" x14ac:dyDescent="0.25">
      <c r="A67" s="6">
        <v>110</v>
      </c>
      <c r="B67" s="6">
        <f t="shared" si="0"/>
        <v>404</v>
      </c>
      <c r="C67" s="7">
        <f t="shared" si="3"/>
        <v>325.48828125</v>
      </c>
      <c r="D67" s="6">
        <v>11000</v>
      </c>
      <c r="E67" s="6">
        <v>10999</v>
      </c>
      <c r="F67" s="6">
        <f t="shared" si="1"/>
        <v>-1</v>
      </c>
      <c r="G67" s="9">
        <f t="shared" si="2"/>
        <v>-1.2</v>
      </c>
    </row>
    <row r="68" spans="1:7" x14ac:dyDescent="0.25">
      <c r="A68">
        <v>111</v>
      </c>
      <c r="B68">
        <f t="shared" si="0"/>
        <v>381</v>
      </c>
      <c r="C68" s="5">
        <f t="shared" si="3"/>
        <v>306.9580078125</v>
      </c>
      <c r="D68">
        <v>11100</v>
      </c>
      <c r="E68">
        <v>11109</v>
      </c>
      <c r="F68">
        <f t="shared" si="1"/>
        <v>9</v>
      </c>
      <c r="G68" s="4">
        <f t="shared" si="2"/>
        <v>11.2</v>
      </c>
    </row>
    <row r="69" spans="1:7" x14ac:dyDescent="0.25">
      <c r="A69">
        <v>112</v>
      </c>
      <c r="B69">
        <f t="shared" si="0"/>
        <v>358</v>
      </c>
      <c r="C69" s="5">
        <f t="shared" si="3"/>
        <v>288.427734375</v>
      </c>
      <c r="D69">
        <v>11200</v>
      </c>
      <c r="E69">
        <v>11203</v>
      </c>
      <c r="F69">
        <f t="shared" si="1"/>
        <v>3</v>
      </c>
      <c r="G69" s="4">
        <f t="shared" si="2"/>
        <v>3.7</v>
      </c>
    </row>
    <row r="70" spans="1:7" x14ac:dyDescent="0.25">
      <c r="A70">
        <v>113</v>
      </c>
      <c r="B70">
        <f t="shared" si="0"/>
        <v>335</v>
      </c>
      <c r="C70" s="5">
        <f t="shared" si="3"/>
        <v>269.8974609375</v>
      </c>
      <c r="D70">
        <v>11300</v>
      </c>
      <c r="E70">
        <v>11299</v>
      </c>
      <c r="F70">
        <f t="shared" si="1"/>
        <v>-1</v>
      </c>
      <c r="G70" s="4">
        <f t="shared" si="2"/>
        <v>-1.2</v>
      </c>
    </row>
    <row r="71" spans="1:7" x14ac:dyDescent="0.25">
      <c r="A71">
        <v>114</v>
      </c>
      <c r="B71">
        <f t="shared" ref="B71:B77" si="4">ROUND($E$4-(((A71-$B$2)*($E$4-$E$3))/($B$1-$B$2)),0)</f>
        <v>312</v>
      </c>
      <c r="C71" s="5">
        <f t="shared" si="3"/>
        <v>251.3671875</v>
      </c>
      <c r="D71">
        <v>11400</v>
      </c>
      <c r="E71">
        <v>11409</v>
      </c>
      <c r="F71">
        <f t="shared" si="1"/>
        <v>9</v>
      </c>
      <c r="G71" s="4">
        <f t="shared" si="2"/>
        <v>11.2</v>
      </c>
    </row>
    <row r="72" spans="1:7" x14ac:dyDescent="0.25">
      <c r="A72">
        <v>115</v>
      </c>
      <c r="B72">
        <f t="shared" si="4"/>
        <v>289</v>
      </c>
      <c r="C72" s="5">
        <f t="shared" si="3"/>
        <v>232.8369140625</v>
      </c>
      <c r="D72">
        <v>11500</v>
      </c>
      <c r="E72">
        <v>11506</v>
      </c>
      <c r="F72">
        <f t="shared" ref="F72:F77" si="5">E72-D72</f>
        <v>6</v>
      </c>
      <c r="G72" s="4">
        <f t="shared" ref="G72:G77" si="6">ROUND(F72/$I$2,1)</f>
        <v>7.4</v>
      </c>
    </row>
    <row r="73" spans="1:7" x14ac:dyDescent="0.25">
      <c r="A73">
        <v>116</v>
      </c>
      <c r="B73">
        <f t="shared" si="4"/>
        <v>266</v>
      </c>
      <c r="C73" s="5">
        <f t="shared" ref="C73:C77" si="7">B73*$E$1/$E$2</f>
        <v>214.306640625</v>
      </c>
      <c r="D73">
        <v>11600</v>
      </c>
      <c r="E73">
        <v>11601</v>
      </c>
      <c r="F73">
        <f t="shared" si="5"/>
        <v>1</v>
      </c>
      <c r="G73" s="4">
        <f t="shared" si="6"/>
        <v>1.2</v>
      </c>
    </row>
    <row r="74" spans="1:7" x14ac:dyDescent="0.25">
      <c r="A74">
        <v>117</v>
      </c>
      <c r="B74">
        <f t="shared" si="4"/>
        <v>243</v>
      </c>
      <c r="C74" s="5">
        <f t="shared" si="7"/>
        <v>195.7763671875</v>
      </c>
      <c r="D74">
        <v>11700</v>
      </c>
      <c r="E74">
        <v>11712</v>
      </c>
      <c r="F74">
        <f t="shared" si="5"/>
        <v>12</v>
      </c>
      <c r="G74" s="4">
        <f t="shared" si="6"/>
        <v>14.9</v>
      </c>
    </row>
    <row r="75" spans="1:7" x14ac:dyDescent="0.25">
      <c r="A75">
        <v>118</v>
      </c>
      <c r="B75">
        <f t="shared" si="4"/>
        <v>220</v>
      </c>
      <c r="C75" s="5">
        <f t="shared" si="7"/>
        <v>177.24609375</v>
      </c>
      <c r="D75">
        <v>11800</v>
      </c>
      <c r="E75">
        <v>11808</v>
      </c>
      <c r="F75">
        <f t="shared" si="5"/>
        <v>8</v>
      </c>
      <c r="G75" s="4">
        <f t="shared" si="6"/>
        <v>9.9</v>
      </c>
    </row>
    <row r="76" spans="1:7" x14ac:dyDescent="0.25">
      <c r="A76">
        <v>119</v>
      </c>
      <c r="B76">
        <f t="shared" si="4"/>
        <v>197</v>
      </c>
      <c r="C76" s="5">
        <f t="shared" si="7"/>
        <v>158.7158203125</v>
      </c>
      <c r="D76">
        <v>11900</v>
      </c>
      <c r="E76">
        <v>11902</v>
      </c>
      <c r="F76">
        <f t="shared" si="5"/>
        <v>2</v>
      </c>
      <c r="G76" s="4">
        <f t="shared" si="6"/>
        <v>2.5</v>
      </c>
    </row>
    <row r="77" spans="1:7" x14ac:dyDescent="0.25">
      <c r="A77" s="6">
        <v>120</v>
      </c>
      <c r="B77" s="6">
        <f t="shared" si="4"/>
        <v>174</v>
      </c>
      <c r="C77" s="7">
        <f t="shared" si="7"/>
        <v>140.185546875</v>
      </c>
      <c r="D77" s="6">
        <v>12000</v>
      </c>
      <c r="E77" s="6">
        <v>12013</v>
      </c>
      <c r="F77" s="6">
        <f t="shared" si="5"/>
        <v>13</v>
      </c>
      <c r="G77" s="9">
        <f t="shared" si="6"/>
        <v>16.100000000000001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74D7-A01E-421C-8E45-E3801ACB5952}">
  <dimension ref="A1:J82"/>
  <sheetViews>
    <sheetView workbookViewId="0">
      <selection activeCell="B2" sqref="B2"/>
    </sheetView>
  </sheetViews>
  <sheetFormatPr baseColWidth="10" defaultRowHeight="15" x14ac:dyDescent="0.25"/>
  <cols>
    <col min="1" max="1" width="14.28515625" bestFit="1" customWidth="1"/>
    <col min="3" max="3" width="11.5703125" customWidth="1"/>
    <col min="4" max="4" width="12.42578125" customWidth="1"/>
    <col min="5" max="5" width="14.7109375" customWidth="1"/>
    <col min="6" max="6" width="9.7109375" bestFit="1" customWidth="1"/>
    <col min="7" max="7" width="6" bestFit="1" customWidth="1"/>
    <col min="8" max="8" width="20.7109375" bestFit="1" customWidth="1"/>
    <col min="9" max="9" width="4.5703125" bestFit="1" customWidth="1"/>
  </cols>
  <sheetData>
    <row r="1" spans="1:10" x14ac:dyDescent="0.25">
      <c r="A1" t="s">
        <v>8</v>
      </c>
      <c r="B1">
        <v>120</v>
      </c>
      <c r="D1" t="s">
        <v>2</v>
      </c>
      <c r="E1">
        <v>3000</v>
      </c>
      <c r="F1" t="s">
        <v>3</v>
      </c>
    </row>
    <row r="2" spans="1:10" x14ac:dyDescent="0.25">
      <c r="A2" t="s">
        <v>9</v>
      </c>
      <c r="B2">
        <v>45</v>
      </c>
      <c r="D2" t="s">
        <v>1</v>
      </c>
      <c r="E2">
        <v>1024</v>
      </c>
      <c r="F2" t="s">
        <v>4</v>
      </c>
      <c r="H2" t="s">
        <v>18</v>
      </c>
      <c r="I2" s="3">
        <f>E1/E2</f>
        <v>2.9296875</v>
      </c>
      <c r="J2" t="s">
        <v>12</v>
      </c>
    </row>
    <row r="3" spans="1:10" x14ac:dyDescent="0.25">
      <c r="A3" t="s">
        <v>10</v>
      </c>
      <c r="B3">
        <v>140</v>
      </c>
      <c r="C3" t="s">
        <v>12</v>
      </c>
      <c r="D3" t="s">
        <v>6</v>
      </c>
      <c r="E3">
        <f>ROUND(B3*E2/E1,0)</f>
        <v>48</v>
      </c>
    </row>
    <row r="4" spans="1:10" x14ac:dyDescent="0.25">
      <c r="A4" t="s">
        <v>11</v>
      </c>
      <c r="B4">
        <v>1536</v>
      </c>
      <c r="C4" t="s">
        <v>12</v>
      </c>
      <c r="D4" t="s">
        <v>5</v>
      </c>
      <c r="E4">
        <f>ROUND( B4*E2/E1,0)</f>
        <v>524</v>
      </c>
    </row>
    <row r="5" spans="1:10" s="8" customFormat="1" x14ac:dyDescent="0.25"/>
    <row r="6" spans="1:10" s="1" customFormat="1" ht="30" x14ac:dyDescent="0.25">
      <c r="A6" s="1" t="s">
        <v>7</v>
      </c>
      <c r="B6" s="2" t="s">
        <v>0</v>
      </c>
      <c r="C6" s="2" t="s">
        <v>13</v>
      </c>
      <c r="D6" s="2" t="s">
        <v>14</v>
      </c>
      <c r="E6" s="2" t="s">
        <v>15</v>
      </c>
      <c r="F6" s="2" t="s">
        <v>17</v>
      </c>
      <c r="G6" s="1" t="s">
        <v>19</v>
      </c>
    </row>
    <row r="7" spans="1:10" x14ac:dyDescent="0.25">
      <c r="A7" s="6">
        <v>45</v>
      </c>
      <c r="B7" s="6">
        <f t="shared" ref="B7:B70" si="0">ROUND($E$4-(((A7-$B$2)*($E$4-$E$3))/($B$1-$B$2)),0)</f>
        <v>524</v>
      </c>
      <c r="C7" s="7">
        <f>B7*$E$1/$E$2</f>
        <v>1535.15625</v>
      </c>
      <c r="D7" s="6">
        <v>4500</v>
      </c>
      <c r="E7" s="6"/>
      <c r="F7" s="6">
        <f>E7-D7</f>
        <v>-4500</v>
      </c>
      <c r="G7" s="9">
        <f>ROUND(F7/$I$2,1)</f>
        <v>-1536</v>
      </c>
    </row>
    <row r="8" spans="1:10" x14ac:dyDescent="0.25">
      <c r="A8">
        <v>46</v>
      </c>
      <c r="B8">
        <f t="shared" si="0"/>
        <v>518</v>
      </c>
      <c r="C8" s="5">
        <f>B8*$E$1/$E$2</f>
        <v>1517.578125</v>
      </c>
      <c r="D8">
        <v>4600</v>
      </c>
      <c r="F8">
        <f t="shared" ref="F8:F71" si="1">E8-D8</f>
        <v>-4600</v>
      </c>
      <c r="G8" s="4">
        <f t="shared" ref="G8:G71" si="2">ROUND(F8/$I$2,1)</f>
        <v>-1570.1</v>
      </c>
    </row>
    <row r="9" spans="1:10" x14ac:dyDescent="0.25">
      <c r="A9" s="6">
        <v>47</v>
      </c>
      <c r="B9">
        <f t="shared" si="0"/>
        <v>511</v>
      </c>
      <c r="C9" s="5">
        <f t="shared" ref="C9:C72" si="3">B9*$E$1/$E$2</f>
        <v>1497.0703125</v>
      </c>
      <c r="D9" s="6">
        <v>4700</v>
      </c>
      <c r="F9">
        <f t="shared" si="1"/>
        <v>-4700</v>
      </c>
      <c r="G9" s="4">
        <f t="shared" si="2"/>
        <v>-1604.3</v>
      </c>
    </row>
    <row r="10" spans="1:10" x14ac:dyDescent="0.25">
      <c r="A10">
        <v>48</v>
      </c>
      <c r="B10">
        <f t="shared" si="0"/>
        <v>505</v>
      </c>
      <c r="C10" s="5">
        <f t="shared" si="3"/>
        <v>1479.4921875</v>
      </c>
      <c r="D10">
        <v>4800</v>
      </c>
      <c r="F10">
        <f t="shared" si="1"/>
        <v>-4800</v>
      </c>
      <c r="G10" s="4">
        <f t="shared" si="2"/>
        <v>-1638.4</v>
      </c>
    </row>
    <row r="11" spans="1:10" x14ac:dyDescent="0.25">
      <c r="A11" s="6">
        <v>49</v>
      </c>
      <c r="B11">
        <f t="shared" si="0"/>
        <v>499</v>
      </c>
      <c r="C11" s="5">
        <f t="shared" si="3"/>
        <v>1461.9140625</v>
      </c>
      <c r="D11" s="6">
        <v>4900</v>
      </c>
      <c r="F11">
        <f t="shared" si="1"/>
        <v>-4900</v>
      </c>
      <c r="G11" s="4">
        <f t="shared" si="2"/>
        <v>-1672.5</v>
      </c>
    </row>
    <row r="12" spans="1:10" x14ac:dyDescent="0.25">
      <c r="A12">
        <v>50</v>
      </c>
      <c r="B12">
        <f t="shared" si="0"/>
        <v>492</v>
      </c>
      <c r="C12" s="5">
        <f t="shared" si="3"/>
        <v>1441.40625</v>
      </c>
      <c r="D12">
        <v>5000</v>
      </c>
      <c r="F12">
        <f t="shared" si="1"/>
        <v>-5000</v>
      </c>
      <c r="G12" s="4">
        <f t="shared" si="2"/>
        <v>-1706.7</v>
      </c>
    </row>
    <row r="13" spans="1:10" x14ac:dyDescent="0.25">
      <c r="A13" s="6">
        <v>51</v>
      </c>
      <c r="B13">
        <f t="shared" si="0"/>
        <v>486</v>
      </c>
      <c r="C13" s="5">
        <f t="shared" si="3"/>
        <v>1423.828125</v>
      </c>
      <c r="D13" s="6">
        <v>5100</v>
      </c>
      <c r="F13">
        <f t="shared" si="1"/>
        <v>-5100</v>
      </c>
      <c r="G13" s="4">
        <f t="shared" si="2"/>
        <v>-1740.8</v>
      </c>
    </row>
    <row r="14" spans="1:10" x14ac:dyDescent="0.25">
      <c r="A14">
        <v>52</v>
      </c>
      <c r="B14">
        <f t="shared" si="0"/>
        <v>480</v>
      </c>
      <c r="C14" s="5">
        <f t="shared" si="3"/>
        <v>1406.25</v>
      </c>
      <c r="D14">
        <v>5200</v>
      </c>
      <c r="F14">
        <f t="shared" si="1"/>
        <v>-5200</v>
      </c>
      <c r="G14" s="4">
        <f t="shared" si="2"/>
        <v>-1774.9</v>
      </c>
    </row>
    <row r="15" spans="1:10" x14ac:dyDescent="0.25">
      <c r="A15" s="6">
        <v>53</v>
      </c>
      <c r="B15">
        <f t="shared" si="0"/>
        <v>473</v>
      </c>
      <c r="C15" s="5">
        <f t="shared" si="3"/>
        <v>1385.7421875</v>
      </c>
      <c r="D15" s="6">
        <v>5300</v>
      </c>
      <c r="F15">
        <f t="shared" si="1"/>
        <v>-5300</v>
      </c>
      <c r="G15" s="4">
        <f t="shared" si="2"/>
        <v>-1809.1</v>
      </c>
    </row>
    <row r="16" spans="1:10" x14ac:dyDescent="0.25">
      <c r="A16">
        <v>54</v>
      </c>
      <c r="B16">
        <f t="shared" si="0"/>
        <v>467</v>
      </c>
      <c r="C16" s="5">
        <f t="shared" si="3"/>
        <v>1368.1640625</v>
      </c>
      <c r="D16">
        <v>5400</v>
      </c>
      <c r="F16">
        <f t="shared" si="1"/>
        <v>-5400</v>
      </c>
      <c r="G16" s="4">
        <f t="shared" si="2"/>
        <v>-1843.2</v>
      </c>
    </row>
    <row r="17" spans="1:7" x14ac:dyDescent="0.25">
      <c r="A17" s="6">
        <v>55</v>
      </c>
      <c r="B17" s="6">
        <f t="shared" si="0"/>
        <v>461</v>
      </c>
      <c r="C17" s="7">
        <f t="shared" si="3"/>
        <v>1350.5859375</v>
      </c>
      <c r="D17" s="6">
        <v>5500</v>
      </c>
      <c r="E17" s="6"/>
      <c r="F17" s="6">
        <f t="shared" si="1"/>
        <v>-5500</v>
      </c>
      <c r="G17" s="9">
        <f t="shared" si="2"/>
        <v>-1877.3</v>
      </c>
    </row>
    <row r="18" spans="1:7" x14ac:dyDescent="0.25">
      <c r="A18">
        <v>56</v>
      </c>
      <c r="B18">
        <f t="shared" si="0"/>
        <v>454</v>
      </c>
      <c r="C18" s="5">
        <f t="shared" si="3"/>
        <v>1330.078125</v>
      </c>
      <c r="D18">
        <v>5600</v>
      </c>
      <c r="F18">
        <f t="shared" si="1"/>
        <v>-5600</v>
      </c>
      <c r="G18" s="4">
        <f t="shared" si="2"/>
        <v>-1911.5</v>
      </c>
    </row>
    <row r="19" spans="1:7" x14ac:dyDescent="0.25">
      <c r="A19" s="6">
        <v>57</v>
      </c>
      <c r="B19">
        <f t="shared" si="0"/>
        <v>448</v>
      </c>
      <c r="C19" s="5">
        <f t="shared" si="3"/>
        <v>1312.5</v>
      </c>
      <c r="D19" s="6">
        <v>5700</v>
      </c>
      <c r="F19">
        <f t="shared" si="1"/>
        <v>-5700</v>
      </c>
      <c r="G19" s="4">
        <f t="shared" si="2"/>
        <v>-1945.6</v>
      </c>
    </row>
    <row r="20" spans="1:7" x14ac:dyDescent="0.25">
      <c r="A20">
        <v>58</v>
      </c>
      <c r="B20">
        <f t="shared" si="0"/>
        <v>441</v>
      </c>
      <c r="C20" s="5">
        <f t="shared" si="3"/>
        <v>1291.9921875</v>
      </c>
      <c r="D20">
        <v>5800</v>
      </c>
      <c r="F20">
        <f t="shared" si="1"/>
        <v>-5800</v>
      </c>
      <c r="G20" s="4">
        <f t="shared" si="2"/>
        <v>-1979.7</v>
      </c>
    </row>
    <row r="21" spans="1:7" x14ac:dyDescent="0.25">
      <c r="A21" s="6">
        <v>59</v>
      </c>
      <c r="B21">
        <f t="shared" si="0"/>
        <v>435</v>
      </c>
      <c r="C21" s="5">
        <f t="shared" si="3"/>
        <v>1274.4140625</v>
      </c>
      <c r="D21" s="6">
        <v>5900</v>
      </c>
      <c r="F21">
        <f t="shared" si="1"/>
        <v>-5900</v>
      </c>
      <c r="G21" s="4">
        <f t="shared" si="2"/>
        <v>-2013.9</v>
      </c>
    </row>
    <row r="22" spans="1:7" x14ac:dyDescent="0.25">
      <c r="A22">
        <v>60</v>
      </c>
      <c r="B22">
        <f t="shared" si="0"/>
        <v>429</v>
      </c>
      <c r="C22" s="5">
        <f t="shared" si="3"/>
        <v>1256.8359375</v>
      </c>
      <c r="D22">
        <v>6000</v>
      </c>
      <c r="F22">
        <f t="shared" si="1"/>
        <v>-6000</v>
      </c>
      <c r="G22" s="4">
        <f t="shared" si="2"/>
        <v>-2048</v>
      </c>
    </row>
    <row r="23" spans="1:7" x14ac:dyDescent="0.25">
      <c r="A23" s="6">
        <v>61</v>
      </c>
      <c r="B23">
        <f t="shared" si="0"/>
        <v>422</v>
      </c>
      <c r="C23" s="5">
        <f t="shared" si="3"/>
        <v>1236.328125</v>
      </c>
      <c r="D23" s="6">
        <v>6100</v>
      </c>
      <c r="F23">
        <f t="shared" si="1"/>
        <v>-6100</v>
      </c>
      <c r="G23" s="4">
        <f t="shared" si="2"/>
        <v>-2082.1</v>
      </c>
    </row>
    <row r="24" spans="1:7" x14ac:dyDescent="0.25">
      <c r="A24">
        <v>62</v>
      </c>
      <c r="B24">
        <f t="shared" si="0"/>
        <v>416</v>
      </c>
      <c r="C24" s="5">
        <f t="shared" si="3"/>
        <v>1218.75</v>
      </c>
      <c r="D24">
        <v>6200</v>
      </c>
      <c r="F24">
        <f t="shared" si="1"/>
        <v>-6200</v>
      </c>
      <c r="G24" s="4">
        <f t="shared" si="2"/>
        <v>-2116.3000000000002</v>
      </c>
    </row>
    <row r="25" spans="1:7" x14ac:dyDescent="0.25">
      <c r="A25" s="6">
        <v>63</v>
      </c>
      <c r="B25">
        <f t="shared" si="0"/>
        <v>410</v>
      </c>
      <c r="C25" s="5">
        <f t="shared" si="3"/>
        <v>1201.171875</v>
      </c>
      <c r="D25" s="6">
        <v>6300</v>
      </c>
      <c r="F25">
        <f t="shared" si="1"/>
        <v>-6300</v>
      </c>
      <c r="G25" s="4">
        <f t="shared" si="2"/>
        <v>-2150.4</v>
      </c>
    </row>
    <row r="26" spans="1:7" x14ac:dyDescent="0.25">
      <c r="A26">
        <v>64</v>
      </c>
      <c r="B26">
        <f t="shared" si="0"/>
        <v>403</v>
      </c>
      <c r="C26" s="5">
        <f t="shared" si="3"/>
        <v>1180.6640625</v>
      </c>
      <c r="D26">
        <v>6400</v>
      </c>
      <c r="F26">
        <f t="shared" si="1"/>
        <v>-6400</v>
      </c>
      <c r="G26" s="4">
        <f t="shared" si="2"/>
        <v>-2184.5</v>
      </c>
    </row>
    <row r="27" spans="1:7" x14ac:dyDescent="0.25">
      <c r="A27" s="6">
        <v>65</v>
      </c>
      <c r="B27" s="6">
        <f t="shared" si="0"/>
        <v>397</v>
      </c>
      <c r="C27" s="7">
        <f t="shared" si="3"/>
        <v>1163.0859375</v>
      </c>
      <c r="D27" s="6">
        <v>6500</v>
      </c>
      <c r="E27" s="6"/>
      <c r="F27" s="6">
        <f t="shared" si="1"/>
        <v>-6500</v>
      </c>
      <c r="G27" s="9">
        <f t="shared" si="2"/>
        <v>-2218.6999999999998</v>
      </c>
    </row>
    <row r="28" spans="1:7" x14ac:dyDescent="0.25">
      <c r="A28">
        <v>66</v>
      </c>
      <c r="B28">
        <f t="shared" si="0"/>
        <v>391</v>
      </c>
      <c r="C28" s="5">
        <f t="shared" si="3"/>
        <v>1145.5078125</v>
      </c>
      <c r="D28">
        <v>6600</v>
      </c>
      <c r="F28">
        <f t="shared" si="1"/>
        <v>-6600</v>
      </c>
      <c r="G28" s="4">
        <f t="shared" si="2"/>
        <v>-2252.8000000000002</v>
      </c>
    </row>
    <row r="29" spans="1:7" x14ac:dyDescent="0.25">
      <c r="A29" s="6">
        <v>67</v>
      </c>
      <c r="B29">
        <f t="shared" si="0"/>
        <v>384</v>
      </c>
      <c r="C29" s="5">
        <f t="shared" si="3"/>
        <v>1125</v>
      </c>
      <c r="D29" s="6">
        <v>6700</v>
      </c>
      <c r="F29">
        <f t="shared" si="1"/>
        <v>-6700</v>
      </c>
      <c r="G29" s="4">
        <f t="shared" si="2"/>
        <v>-2286.9</v>
      </c>
    </row>
    <row r="30" spans="1:7" x14ac:dyDescent="0.25">
      <c r="A30">
        <v>68</v>
      </c>
      <c r="B30">
        <f t="shared" si="0"/>
        <v>378</v>
      </c>
      <c r="C30" s="5">
        <f t="shared" si="3"/>
        <v>1107.421875</v>
      </c>
      <c r="D30">
        <v>6800</v>
      </c>
      <c r="F30">
        <f t="shared" si="1"/>
        <v>-6800</v>
      </c>
      <c r="G30" s="4">
        <f t="shared" si="2"/>
        <v>-2321.1</v>
      </c>
    </row>
    <row r="31" spans="1:7" x14ac:dyDescent="0.25">
      <c r="A31" s="6">
        <v>69</v>
      </c>
      <c r="B31">
        <f t="shared" si="0"/>
        <v>372</v>
      </c>
      <c r="C31" s="5">
        <f t="shared" si="3"/>
        <v>1089.84375</v>
      </c>
      <c r="D31" s="6">
        <v>6900</v>
      </c>
      <c r="F31">
        <f t="shared" si="1"/>
        <v>-6900</v>
      </c>
      <c r="G31" s="4">
        <f t="shared" si="2"/>
        <v>-2355.1999999999998</v>
      </c>
    </row>
    <row r="32" spans="1:7" x14ac:dyDescent="0.25">
      <c r="A32">
        <v>70</v>
      </c>
      <c r="B32">
        <f t="shared" si="0"/>
        <v>365</v>
      </c>
      <c r="C32" s="5">
        <f t="shared" si="3"/>
        <v>1069.3359375</v>
      </c>
      <c r="D32">
        <v>7000</v>
      </c>
      <c r="F32">
        <f t="shared" si="1"/>
        <v>-7000</v>
      </c>
      <c r="G32" s="4">
        <f t="shared" si="2"/>
        <v>-2389.3000000000002</v>
      </c>
    </row>
    <row r="33" spans="1:7" x14ac:dyDescent="0.25">
      <c r="A33" s="6">
        <v>71</v>
      </c>
      <c r="B33">
        <f t="shared" si="0"/>
        <v>359</v>
      </c>
      <c r="C33" s="5">
        <f t="shared" si="3"/>
        <v>1051.7578125</v>
      </c>
      <c r="D33" s="6">
        <v>7100</v>
      </c>
      <c r="F33">
        <f t="shared" si="1"/>
        <v>-7100</v>
      </c>
      <c r="G33" s="4">
        <f t="shared" si="2"/>
        <v>-2423.5</v>
      </c>
    </row>
    <row r="34" spans="1:7" x14ac:dyDescent="0.25">
      <c r="A34">
        <v>72</v>
      </c>
      <c r="B34">
        <f t="shared" si="0"/>
        <v>353</v>
      </c>
      <c r="C34" s="5">
        <f t="shared" si="3"/>
        <v>1034.1796875</v>
      </c>
      <c r="D34">
        <v>7200</v>
      </c>
      <c r="F34">
        <f t="shared" si="1"/>
        <v>-7200</v>
      </c>
      <c r="G34" s="4">
        <f t="shared" si="2"/>
        <v>-2457.6</v>
      </c>
    </row>
    <row r="35" spans="1:7" x14ac:dyDescent="0.25">
      <c r="A35" s="6">
        <v>73</v>
      </c>
      <c r="B35">
        <f t="shared" si="0"/>
        <v>346</v>
      </c>
      <c r="C35" s="5">
        <f t="shared" si="3"/>
        <v>1013.671875</v>
      </c>
      <c r="D35" s="6">
        <v>7300</v>
      </c>
      <c r="F35">
        <f t="shared" si="1"/>
        <v>-7300</v>
      </c>
      <c r="G35" s="4">
        <f t="shared" si="2"/>
        <v>-2491.6999999999998</v>
      </c>
    </row>
    <row r="36" spans="1:7" x14ac:dyDescent="0.25">
      <c r="A36">
        <v>74</v>
      </c>
      <c r="B36">
        <f t="shared" si="0"/>
        <v>340</v>
      </c>
      <c r="C36" s="5">
        <f t="shared" si="3"/>
        <v>996.09375</v>
      </c>
      <c r="D36">
        <v>7400</v>
      </c>
      <c r="F36">
        <f t="shared" si="1"/>
        <v>-7400</v>
      </c>
      <c r="G36" s="4">
        <f t="shared" si="2"/>
        <v>-2525.9</v>
      </c>
    </row>
    <row r="37" spans="1:7" x14ac:dyDescent="0.25">
      <c r="A37" s="6">
        <v>75</v>
      </c>
      <c r="B37" s="6">
        <f t="shared" si="0"/>
        <v>334</v>
      </c>
      <c r="C37" s="7">
        <f t="shared" si="3"/>
        <v>978.515625</v>
      </c>
      <c r="D37" s="6">
        <v>7500</v>
      </c>
      <c r="E37" s="6"/>
      <c r="F37" s="6">
        <f t="shared" si="1"/>
        <v>-7500</v>
      </c>
      <c r="G37" s="9">
        <f t="shared" si="2"/>
        <v>-2560</v>
      </c>
    </row>
    <row r="38" spans="1:7" x14ac:dyDescent="0.25">
      <c r="A38">
        <v>76</v>
      </c>
      <c r="B38">
        <f t="shared" si="0"/>
        <v>327</v>
      </c>
      <c r="C38" s="5">
        <f t="shared" si="3"/>
        <v>958.0078125</v>
      </c>
      <c r="D38">
        <v>7600</v>
      </c>
      <c r="F38">
        <f t="shared" si="1"/>
        <v>-7600</v>
      </c>
      <c r="G38" s="4">
        <f t="shared" si="2"/>
        <v>-2594.1</v>
      </c>
    </row>
    <row r="39" spans="1:7" x14ac:dyDescent="0.25">
      <c r="A39" s="6">
        <v>77</v>
      </c>
      <c r="B39">
        <f t="shared" si="0"/>
        <v>321</v>
      </c>
      <c r="C39" s="5">
        <f t="shared" si="3"/>
        <v>940.4296875</v>
      </c>
      <c r="D39" s="6">
        <v>7700</v>
      </c>
      <c r="F39">
        <f t="shared" si="1"/>
        <v>-7700</v>
      </c>
      <c r="G39" s="4">
        <f t="shared" si="2"/>
        <v>-2628.3</v>
      </c>
    </row>
    <row r="40" spans="1:7" x14ac:dyDescent="0.25">
      <c r="A40">
        <v>78</v>
      </c>
      <c r="B40">
        <f t="shared" si="0"/>
        <v>315</v>
      </c>
      <c r="C40" s="5">
        <f t="shared" si="3"/>
        <v>922.8515625</v>
      </c>
      <c r="D40">
        <v>7800</v>
      </c>
      <c r="F40">
        <f t="shared" si="1"/>
        <v>-7800</v>
      </c>
      <c r="G40" s="4">
        <f t="shared" si="2"/>
        <v>-2662.4</v>
      </c>
    </row>
    <row r="41" spans="1:7" x14ac:dyDescent="0.25">
      <c r="A41" s="6">
        <v>79</v>
      </c>
      <c r="B41">
        <f t="shared" si="0"/>
        <v>308</v>
      </c>
      <c r="C41" s="5">
        <f t="shared" si="3"/>
        <v>902.34375</v>
      </c>
      <c r="D41" s="6">
        <v>7900</v>
      </c>
      <c r="F41">
        <f t="shared" si="1"/>
        <v>-7900</v>
      </c>
      <c r="G41" s="4">
        <f t="shared" si="2"/>
        <v>-2696.5</v>
      </c>
    </row>
    <row r="42" spans="1:7" x14ac:dyDescent="0.25">
      <c r="A42">
        <v>80</v>
      </c>
      <c r="B42">
        <f t="shared" si="0"/>
        <v>302</v>
      </c>
      <c r="C42" s="5">
        <f t="shared" si="3"/>
        <v>884.765625</v>
      </c>
      <c r="D42">
        <v>8000</v>
      </c>
      <c r="F42">
        <f t="shared" si="1"/>
        <v>-8000</v>
      </c>
      <c r="G42" s="4">
        <f t="shared" si="2"/>
        <v>-2730.7</v>
      </c>
    </row>
    <row r="43" spans="1:7" x14ac:dyDescent="0.25">
      <c r="A43" s="6">
        <v>81</v>
      </c>
      <c r="B43">
        <f t="shared" si="0"/>
        <v>296</v>
      </c>
      <c r="C43" s="5">
        <f t="shared" si="3"/>
        <v>867.1875</v>
      </c>
      <c r="D43" s="6">
        <v>8100</v>
      </c>
      <c r="F43">
        <f t="shared" si="1"/>
        <v>-8100</v>
      </c>
      <c r="G43" s="4">
        <f t="shared" si="2"/>
        <v>-2764.8</v>
      </c>
    </row>
    <row r="44" spans="1:7" x14ac:dyDescent="0.25">
      <c r="A44">
        <v>82</v>
      </c>
      <c r="B44">
        <f t="shared" si="0"/>
        <v>289</v>
      </c>
      <c r="C44" s="5">
        <f t="shared" si="3"/>
        <v>846.6796875</v>
      </c>
      <c r="D44">
        <v>8200</v>
      </c>
      <c r="F44">
        <f t="shared" si="1"/>
        <v>-8200</v>
      </c>
      <c r="G44" s="4">
        <f t="shared" si="2"/>
        <v>-2798.9</v>
      </c>
    </row>
    <row r="45" spans="1:7" x14ac:dyDescent="0.25">
      <c r="A45" s="6">
        <v>83</v>
      </c>
      <c r="B45">
        <f t="shared" si="0"/>
        <v>283</v>
      </c>
      <c r="C45" s="5">
        <f t="shared" si="3"/>
        <v>829.1015625</v>
      </c>
      <c r="D45" s="6">
        <v>8300</v>
      </c>
      <c r="F45">
        <f t="shared" si="1"/>
        <v>-8300</v>
      </c>
      <c r="G45" s="4">
        <f t="shared" si="2"/>
        <v>-2833.1</v>
      </c>
    </row>
    <row r="46" spans="1:7" x14ac:dyDescent="0.25">
      <c r="A46">
        <v>84</v>
      </c>
      <c r="B46">
        <f t="shared" si="0"/>
        <v>276</v>
      </c>
      <c r="C46" s="5">
        <f t="shared" si="3"/>
        <v>808.59375</v>
      </c>
      <c r="D46">
        <v>8400</v>
      </c>
      <c r="F46">
        <f t="shared" si="1"/>
        <v>-8400</v>
      </c>
      <c r="G46" s="4">
        <f t="shared" si="2"/>
        <v>-2867.2</v>
      </c>
    </row>
    <row r="47" spans="1:7" x14ac:dyDescent="0.25">
      <c r="A47" s="6">
        <v>85</v>
      </c>
      <c r="B47" s="6">
        <f t="shared" si="0"/>
        <v>270</v>
      </c>
      <c r="C47" s="7">
        <f t="shared" si="3"/>
        <v>791.015625</v>
      </c>
      <c r="D47" s="6">
        <v>8500</v>
      </c>
      <c r="E47" s="6"/>
      <c r="F47" s="6">
        <f t="shared" si="1"/>
        <v>-8500</v>
      </c>
      <c r="G47" s="9">
        <f t="shared" si="2"/>
        <v>-2901.3</v>
      </c>
    </row>
    <row r="48" spans="1:7" x14ac:dyDescent="0.25">
      <c r="A48">
        <v>86</v>
      </c>
      <c r="B48">
        <f t="shared" si="0"/>
        <v>264</v>
      </c>
      <c r="C48" s="5">
        <f t="shared" si="3"/>
        <v>773.4375</v>
      </c>
      <c r="D48">
        <v>8600</v>
      </c>
      <c r="F48">
        <f t="shared" si="1"/>
        <v>-8600</v>
      </c>
      <c r="G48" s="4">
        <f t="shared" si="2"/>
        <v>-2935.5</v>
      </c>
    </row>
    <row r="49" spans="1:7" x14ac:dyDescent="0.25">
      <c r="A49" s="6">
        <v>87</v>
      </c>
      <c r="B49">
        <f t="shared" si="0"/>
        <v>257</v>
      </c>
      <c r="C49" s="5">
        <f t="shared" si="3"/>
        <v>752.9296875</v>
      </c>
      <c r="D49" s="6">
        <v>8700</v>
      </c>
      <c r="F49">
        <f t="shared" si="1"/>
        <v>-8700</v>
      </c>
      <c r="G49" s="4">
        <f t="shared" si="2"/>
        <v>-2969.6</v>
      </c>
    </row>
    <row r="50" spans="1:7" x14ac:dyDescent="0.25">
      <c r="A50">
        <v>88</v>
      </c>
      <c r="B50">
        <f t="shared" si="0"/>
        <v>251</v>
      </c>
      <c r="C50" s="5">
        <f t="shared" si="3"/>
        <v>735.3515625</v>
      </c>
      <c r="D50">
        <v>8800</v>
      </c>
      <c r="F50">
        <f t="shared" si="1"/>
        <v>-8800</v>
      </c>
      <c r="G50" s="4">
        <f t="shared" si="2"/>
        <v>-3003.7</v>
      </c>
    </row>
    <row r="51" spans="1:7" x14ac:dyDescent="0.25">
      <c r="A51" s="6">
        <v>89</v>
      </c>
      <c r="B51">
        <f t="shared" si="0"/>
        <v>245</v>
      </c>
      <c r="C51" s="5">
        <f t="shared" si="3"/>
        <v>717.7734375</v>
      </c>
      <c r="D51" s="6">
        <v>8900</v>
      </c>
      <c r="F51">
        <f t="shared" si="1"/>
        <v>-8900</v>
      </c>
      <c r="G51" s="4">
        <f t="shared" si="2"/>
        <v>-3037.9</v>
      </c>
    </row>
    <row r="52" spans="1:7" x14ac:dyDescent="0.25">
      <c r="A52">
        <v>90</v>
      </c>
      <c r="B52">
        <f t="shared" si="0"/>
        <v>238</v>
      </c>
      <c r="C52" s="5">
        <f t="shared" si="3"/>
        <v>697.265625</v>
      </c>
      <c r="D52">
        <v>9000</v>
      </c>
      <c r="F52">
        <f t="shared" si="1"/>
        <v>-9000</v>
      </c>
      <c r="G52" s="4">
        <f t="shared" si="2"/>
        <v>-3072</v>
      </c>
    </row>
    <row r="53" spans="1:7" x14ac:dyDescent="0.25">
      <c r="A53" s="6">
        <v>91</v>
      </c>
      <c r="B53">
        <f t="shared" si="0"/>
        <v>232</v>
      </c>
      <c r="C53" s="5">
        <f t="shared" si="3"/>
        <v>679.6875</v>
      </c>
      <c r="D53" s="6">
        <v>9100</v>
      </c>
      <c r="F53">
        <f t="shared" si="1"/>
        <v>-9100</v>
      </c>
      <c r="G53" s="4">
        <f t="shared" si="2"/>
        <v>-3106.1</v>
      </c>
    </row>
    <row r="54" spans="1:7" x14ac:dyDescent="0.25">
      <c r="A54">
        <v>92</v>
      </c>
      <c r="B54">
        <f t="shared" si="0"/>
        <v>226</v>
      </c>
      <c r="C54" s="5">
        <f t="shared" si="3"/>
        <v>662.109375</v>
      </c>
      <c r="D54">
        <v>9200</v>
      </c>
      <c r="F54">
        <f t="shared" si="1"/>
        <v>-9200</v>
      </c>
      <c r="G54" s="4">
        <f t="shared" si="2"/>
        <v>-3140.3</v>
      </c>
    </row>
    <row r="55" spans="1:7" x14ac:dyDescent="0.25">
      <c r="A55" s="6">
        <v>93</v>
      </c>
      <c r="B55">
        <f t="shared" si="0"/>
        <v>219</v>
      </c>
      <c r="C55" s="5">
        <f t="shared" si="3"/>
        <v>641.6015625</v>
      </c>
      <c r="D55" s="6">
        <v>9300</v>
      </c>
      <c r="F55">
        <f t="shared" si="1"/>
        <v>-9300</v>
      </c>
      <c r="G55" s="4">
        <f t="shared" si="2"/>
        <v>-3174.4</v>
      </c>
    </row>
    <row r="56" spans="1:7" x14ac:dyDescent="0.25">
      <c r="A56">
        <v>94</v>
      </c>
      <c r="B56">
        <f t="shared" si="0"/>
        <v>213</v>
      </c>
      <c r="C56" s="5">
        <f t="shared" si="3"/>
        <v>624.0234375</v>
      </c>
      <c r="D56">
        <v>9400</v>
      </c>
      <c r="F56">
        <f t="shared" si="1"/>
        <v>-9400</v>
      </c>
      <c r="G56" s="4">
        <f t="shared" si="2"/>
        <v>-3208.5</v>
      </c>
    </row>
    <row r="57" spans="1:7" x14ac:dyDescent="0.25">
      <c r="A57" s="6">
        <v>95</v>
      </c>
      <c r="B57" s="6">
        <f t="shared" si="0"/>
        <v>207</v>
      </c>
      <c r="C57" s="7">
        <f t="shared" si="3"/>
        <v>606.4453125</v>
      </c>
      <c r="D57" s="6">
        <v>9500</v>
      </c>
      <c r="E57" s="6"/>
      <c r="F57" s="6">
        <f t="shared" si="1"/>
        <v>-9500</v>
      </c>
      <c r="G57" s="9">
        <f t="shared" si="2"/>
        <v>-3242.7</v>
      </c>
    </row>
    <row r="58" spans="1:7" x14ac:dyDescent="0.25">
      <c r="A58">
        <v>96</v>
      </c>
      <c r="B58">
        <f t="shared" si="0"/>
        <v>200</v>
      </c>
      <c r="C58" s="5">
        <f t="shared" si="3"/>
        <v>585.9375</v>
      </c>
      <c r="D58">
        <v>9600</v>
      </c>
      <c r="F58">
        <f t="shared" si="1"/>
        <v>-9600</v>
      </c>
      <c r="G58" s="4">
        <f t="shared" si="2"/>
        <v>-3276.8</v>
      </c>
    </row>
    <row r="59" spans="1:7" x14ac:dyDescent="0.25">
      <c r="A59" s="6">
        <v>97</v>
      </c>
      <c r="B59">
        <f t="shared" si="0"/>
        <v>194</v>
      </c>
      <c r="C59" s="5">
        <f t="shared" si="3"/>
        <v>568.359375</v>
      </c>
      <c r="D59" s="6">
        <v>9700</v>
      </c>
      <c r="F59">
        <f t="shared" si="1"/>
        <v>-9700</v>
      </c>
      <c r="G59" s="4">
        <f t="shared" si="2"/>
        <v>-3310.9</v>
      </c>
    </row>
    <row r="60" spans="1:7" x14ac:dyDescent="0.25">
      <c r="A60">
        <v>98</v>
      </c>
      <c r="B60">
        <f t="shared" si="0"/>
        <v>188</v>
      </c>
      <c r="C60" s="5">
        <f t="shared" si="3"/>
        <v>550.78125</v>
      </c>
      <c r="D60">
        <v>9800</v>
      </c>
      <c r="F60">
        <f t="shared" si="1"/>
        <v>-9800</v>
      </c>
      <c r="G60" s="4">
        <f t="shared" si="2"/>
        <v>-3345.1</v>
      </c>
    </row>
    <row r="61" spans="1:7" x14ac:dyDescent="0.25">
      <c r="A61" s="6">
        <v>99</v>
      </c>
      <c r="B61">
        <f t="shared" si="0"/>
        <v>181</v>
      </c>
      <c r="C61" s="5">
        <f t="shared" si="3"/>
        <v>530.2734375</v>
      </c>
      <c r="D61" s="6">
        <v>9900</v>
      </c>
      <c r="F61">
        <f t="shared" si="1"/>
        <v>-9900</v>
      </c>
      <c r="G61" s="4">
        <f t="shared" si="2"/>
        <v>-3379.2</v>
      </c>
    </row>
    <row r="62" spans="1:7" x14ac:dyDescent="0.25">
      <c r="A62">
        <v>100</v>
      </c>
      <c r="B62">
        <f t="shared" si="0"/>
        <v>175</v>
      </c>
      <c r="C62" s="5">
        <f t="shared" si="3"/>
        <v>512.6953125</v>
      </c>
      <c r="D62">
        <v>10000</v>
      </c>
      <c r="F62">
        <f t="shared" si="1"/>
        <v>-10000</v>
      </c>
      <c r="G62" s="4">
        <f t="shared" si="2"/>
        <v>-3413.3</v>
      </c>
    </row>
    <row r="63" spans="1:7" x14ac:dyDescent="0.25">
      <c r="A63" s="6">
        <v>101</v>
      </c>
      <c r="B63">
        <f t="shared" si="0"/>
        <v>169</v>
      </c>
      <c r="C63" s="5">
        <f t="shared" si="3"/>
        <v>495.1171875</v>
      </c>
      <c r="D63" s="6">
        <v>10100</v>
      </c>
      <c r="F63">
        <f t="shared" si="1"/>
        <v>-10100</v>
      </c>
      <c r="G63" s="4">
        <f t="shared" si="2"/>
        <v>-3447.5</v>
      </c>
    </row>
    <row r="64" spans="1:7" x14ac:dyDescent="0.25">
      <c r="A64">
        <v>102</v>
      </c>
      <c r="B64">
        <f t="shared" si="0"/>
        <v>162</v>
      </c>
      <c r="C64" s="5">
        <f t="shared" si="3"/>
        <v>474.609375</v>
      </c>
      <c r="D64">
        <v>10200</v>
      </c>
      <c r="F64">
        <f t="shared" si="1"/>
        <v>-10200</v>
      </c>
      <c r="G64" s="4">
        <f t="shared" si="2"/>
        <v>-3481.6</v>
      </c>
    </row>
    <row r="65" spans="1:7" x14ac:dyDescent="0.25">
      <c r="A65" s="6">
        <v>103</v>
      </c>
      <c r="B65">
        <f t="shared" si="0"/>
        <v>156</v>
      </c>
      <c r="C65" s="5">
        <f t="shared" si="3"/>
        <v>457.03125</v>
      </c>
      <c r="D65" s="6">
        <v>10300</v>
      </c>
      <c r="F65">
        <f t="shared" si="1"/>
        <v>-10300</v>
      </c>
      <c r="G65" s="4">
        <f t="shared" si="2"/>
        <v>-3515.7</v>
      </c>
    </row>
    <row r="66" spans="1:7" x14ac:dyDescent="0.25">
      <c r="A66">
        <v>104</v>
      </c>
      <c r="B66">
        <f t="shared" si="0"/>
        <v>150</v>
      </c>
      <c r="C66" s="5">
        <f t="shared" si="3"/>
        <v>439.453125</v>
      </c>
      <c r="D66">
        <v>10400</v>
      </c>
      <c r="F66">
        <f t="shared" si="1"/>
        <v>-10400</v>
      </c>
      <c r="G66" s="4">
        <f t="shared" si="2"/>
        <v>-3549.9</v>
      </c>
    </row>
    <row r="67" spans="1:7" x14ac:dyDescent="0.25">
      <c r="A67" s="6">
        <v>105</v>
      </c>
      <c r="B67" s="6">
        <f t="shared" si="0"/>
        <v>143</v>
      </c>
      <c r="C67" s="7">
        <f t="shared" si="3"/>
        <v>418.9453125</v>
      </c>
      <c r="D67" s="6">
        <v>10500</v>
      </c>
      <c r="E67" s="6"/>
      <c r="F67" s="6">
        <f t="shared" si="1"/>
        <v>-10500</v>
      </c>
      <c r="G67" s="9">
        <f t="shared" si="2"/>
        <v>-3584</v>
      </c>
    </row>
    <row r="68" spans="1:7" x14ac:dyDescent="0.25">
      <c r="A68">
        <v>106</v>
      </c>
      <c r="B68">
        <f t="shared" si="0"/>
        <v>137</v>
      </c>
      <c r="C68" s="5">
        <f t="shared" si="3"/>
        <v>401.3671875</v>
      </c>
      <c r="D68">
        <v>10600</v>
      </c>
      <c r="F68">
        <f t="shared" si="1"/>
        <v>-10600</v>
      </c>
      <c r="G68" s="4">
        <f t="shared" si="2"/>
        <v>-3618.1</v>
      </c>
    </row>
    <row r="69" spans="1:7" x14ac:dyDescent="0.25">
      <c r="A69" s="6">
        <v>107</v>
      </c>
      <c r="B69">
        <f t="shared" si="0"/>
        <v>131</v>
      </c>
      <c r="C69" s="5">
        <f t="shared" si="3"/>
        <v>383.7890625</v>
      </c>
      <c r="D69" s="6">
        <v>10700</v>
      </c>
      <c r="F69">
        <f t="shared" si="1"/>
        <v>-10700</v>
      </c>
      <c r="G69" s="4">
        <f t="shared" si="2"/>
        <v>-3652.3</v>
      </c>
    </row>
    <row r="70" spans="1:7" x14ac:dyDescent="0.25">
      <c r="A70">
        <v>108</v>
      </c>
      <c r="B70">
        <f t="shared" si="0"/>
        <v>124</v>
      </c>
      <c r="C70" s="5">
        <f t="shared" si="3"/>
        <v>363.28125</v>
      </c>
      <c r="D70">
        <v>10800</v>
      </c>
      <c r="F70">
        <f t="shared" si="1"/>
        <v>-10800</v>
      </c>
      <c r="G70" s="4">
        <f t="shared" si="2"/>
        <v>-3686.4</v>
      </c>
    </row>
    <row r="71" spans="1:7" x14ac:dyDescent="0.25">
      <c r="A71" s="6">
        <v>109</v>
      </c>
      <c r="B71">
        <f t="shared" ref="B71:B77" si="4">ROUND($E$4-(((A71-$B$2)*($E$4-$E$3))/($B$1-$B$2)),0)</f>
        <v>118</v>
      </c>
      <c r="C71" s="5">
        <f t="shared" si="3"/>
        <v>345.703125</v>
      </c>
      <c r="D71" s="6">
        <v>10900</v>
      </c>
      <c r="F71">
        <f t="shared" si="1"/>
        <v>-10900</v>
      </c>
      <c r="G71" s="4">
        <f t="shared" si="2"/>
        <v>-3720.5</v>
      </c>
    </row>
    <row r="72" spans="1:7" x14ac:dyDescent="0.25">
      <c r="A72">
        <v>110</v>
      </c>
      <c r="B72">
        <f t="shared" si="4"/>
        <v>111</v>
      </c>
      <c r="C72" s="5">
        <f t="shared" si="3"/>
        <v>325.1953125</v>
      </c>
      <c r="D72">
        <v>11000</v>
      </c>
      <c r="F72">
        <f t="shared" ref="F72:F77" si="5">E72-D72</f>
        <v>-11000</v>
      </c>
      <c r="G72" s="4">
        <f t="shared" ref="G72:G77" si="6">ROUND(F72/$I$2,1)</f>
        <v>-3754.7</v>
      </c>
    </row>
    <row r="73" spans="1:7" x14ac:dyDescent="0.25">
      <c r="A73" s="6">
        <v>111</v>
      </c>
      <c r="B73">
        <f t="shared" si="4"/>
        <v>105</v>
      </c>
      <c r="C73" s="5">
        <f t="shared" ref="C73:C77" si="7">B73*$E$1/$E$2</f>
        <v>307.6171875</v>
      </c>
      <c r="D73" s="6">
        <v>11100</v>
      </c>
      <c r="F73">
        <f t="shared" si="5"/>
        <v>-11100</v>
      </c>
      <c r="G73" s="4">
        <f t="shared" si="6"/>
        <v>-3788.8</v>
      </c>
    </row>
    <row r="74" spans="1:7" x14ac:dyDescent="0.25">
      <c r="A74">
        <v>112</v>
      </c>
      <c r="B74">
        <f t="shared" si="4"/>
        <v>99</v>
      </c>
      <c r="C74" s="5">
        <f t="shared" si="7"/>
        <v>290.0390625</v>
      </c>
      <c r="D74">
        <v>11200</v>
      </c>
      <c r="F74">
        <f t="shared" si="5"/>
        <v>-11200</v>
      </c>
      <c r="G74" s="4">
        <f t="shared" si="6"/>
        <v>-3822.9</v>
      </c>
    </row>
    <row r="75" spans="1:7" x14ac:dyDescent="0.25">
      <c r="A75" s="6">
        <v>113</v>
      </c>
      <c r="B75">
        <f t="shared" si="4"/>
        <v>92</v>
      </c>
      <c r="C75" s="5">
        <f t="shared" si="7"/>
        <v>269.53125</v>
      </c>
      <c r="D75" s="6">
        <v>11300</v>
      </c>
      <c r="F75">
        <f t="shared" si="5"/>
        <v>-11300</v>
      </c>
      <c r="G75" s="4">
        <f t="shared" si="6"/>
        <v>-3857.1</v>
      </c>
    </row>
    <row r="76" spans="1:7" x14ac:dyDescent="0.25">
      <c r="A76">
        <v>114</v>
      </c>
      <c r="B76">
        <f t="shared" si="4"/>
        <v>86</v>
      </c>
      <c r="C76" s="5">
        <f t="shared" si="7"/>
        <v>251.953125</v>
      </c>
      <c r="D76">
        <v>11400</v>
      </c>
      <c r="F76">
        <f t="shared" si="5"/>
        <v>-11400</v>
      </c>
      <c r="G76" s="4">
        <f t="shared" si="6"/>
        <v>-3891.2</v>
      </c>
    </row>
    <row r="77" spans="1:7" x14ac:dyDescent="0.25">
      <c r="A77" s="6">
        <v>115</v>
      </c>
      <c r="B77" s="6">
        <f t="shared" si="4"/>
        <v>80</v>
      </c>
      <c r="C77" s="7">
        <f t="shared" si="7"/>
        <v>234.375</v>
      </c>
      <c r="D77" s="6">
        <v>11500</v>
      </c>
      <c r="E77" s="6"/>
      <c r="F77" s="6">
        <f t="shared" si="5"/>
        <v>-11500</v>
      </c>
      <c r="G77" s="9">
        <f t="shared" si="6"/>
        <v>-3925.3</v>
      </c>
    </row>
    <row r="78" spans="1:7" x14ac:dyDescent="0.25">
      <c r="A78">
        <v>116</v>
      </c>
      <c r="B78">
        <f t="shared" ref="B78:B82" si="8">ROUND($E$4-(((A78-$B$2)*($E$4-$E$3))/($B$1-$B$2)),0)</f>
        <v>73</v>
      </c>
      <c r="C78" s="5">
        <f t="shared" ref="C78:C82" si="9">B78*$E$1/$E$2</f>
        <v>213.8671875</v>
      </c>
      <c r="D78">
        <v>11600</v>
      </c>
      <c r="F78">
        <f t="shared" ref="F78:F82" si="10">E78-D78</f>
        <v>-11600</v>
      </c>
      <c r="G78" s="4">
        <f t="shared" ref="G78:G82" si="11">ROUND(F78/$I$2,1)</f>
        <v>-3959.5</v>
      </c>
    </row>
    <row r="79" spans="1:7" x14ac:dyDescent="0.25">
      <c r="A79" s="6">
        <v>117</v>
      </c>
      <c r="B79" s="6">
        <f t="shared" si="8"/>
        <v>67</v>
      </c>
      <c r="C79" s="7">
        <f t="shared" si="9"/>
        <v>196.2890625</v>
      </c>
      <c r="D79" s="6">
        <v>11700</v>
      </c>
      <c r="E79" s="6"/>
      <c r="F79" s="6">
        <f t="shared" si="10"/>
        <v>-11700</v>
      </c>
      <c r="G79" s="9">
        <f t="shared" si="11"/>
        <v>-3993.6</v>
      </c>
    </row>
    <row r="80" spans="1:7" x14ac:dyDescent="0.25">
      <c r="A80">
        <v>118</v>
      </c>
      <c r="B80">
        <f t="shared" si="8"/>
        <v>61</v>
      </c>
      <c r="C80" s="5">
        <f t="shared" si="9"/>
        <v>178.7109375</v>
      </c>
      <c r="D80">
        <v>11800</v>
      </c>
      <c r="F80">
        <f t="shared" si="10"/>
        <v>-11800</v>
      </c>
      <c r="G80" s="4">
        <f t="shared" si="11"/>
        <v>-4027.7</v>
      </c>
    </row>
    <row r="81" spans="1:7" x14ac:dyDescent="0.25">
      <c r="A81" s="6">
        <v>119</v>
      </c>
      <c r="B81" s="6">
        <f t="shared" si="8"/>
        <v>54</v>
      </c>
      <c r="C81" s="7">
        <f t="shared" si="9"/>
        <v>158.203125</v>
      </c>
      <c r="D81" s="6">
        <v>11900</v>
      </c>
      <c r="E81" s="6"/>
      <c r="F81" s="6">
        <f t="shared" si="10"/>
        <v>-11900</v>
      </c>
      <c r="G81" s="9">
        <f t="shared" si="11"/>
        <v>-4061.9</v>
      </c>
    </row>
    <row r="82" spans="1:7" x14ac:dyDescent="0.25">
      <c r="A82">
        <v>120</v>
      </c>
      <c r="B82">
        <f t="shared" si="8"/>
        <v>48</v>
      </c>
      <c r="C82" s="5">
        <f t="shared" si="9"/>
        <v>140.625</v>
      </c>
      <c r="D82">
        <v>12000</v>
      </c>
      <c r="F82">
        <f t="shared" si="10"/>
        <v>-12000</v>
      </c>
      <c r="G82" s="4">
        <f t="shared" si="11"/>
        <v>-4096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80C9-DE72-41F4-850D-88317024A728}">
  <dimension ref="A1:J87"/>
  <sheetViews>
    <sheetView zoomScale="85" zoomScaleNormal="85" workbookViewId="0">
      <selection activeCell="C7" sqref="C7"/>
    </sheetView>
  </sheetViews>
  <sheetFormatPr baseColWidth="10" defaultRowHeight="15" x14ac:dyDescent="0.25"/>
  <cols>
    <col min="1" max="1" width="14.28515625" bestFit="1" customWidth="1"/>
    <col min="3" max="3" width="11.5703125" customWidth="1"/>
    <col min="4" max="4" width="12.42578125" customWidth="1"/>
    <col min="5" max="5" width="14.7109375" customWidth="1"/>
    <col min="6" max="6" width="9.7109375" bestFit="1" customWidth="1"/>
    <col min="7" max="7" width="7.28515625" bestFit="1" customWidth="1"/>
    <col min="8" max="8" width="20.7109375" bestFit="1" customWidth="1"/>
    <col min="9" max="9" width="4.5703125" bestFit="1" customWidth="1"/>
  </cols>
  <sheetData>
    <row r="1" spans="1:10" x14ac:dyDescent="0.25">
      <c r="A1" t="s">
        <v>8</v>
      </c>
      <c r="B1">
        <v>120</v>
      </c>
      <c r="D1" t="s">
        <v>2</v>
      </c>
      <c r="E1">
        <v>3000</v>
      </c>
      <c r="F1" t="s">
        <v>3</v>
      </c>
    </row>
    <row r="2" spans="1:10" x14ac:dyDescent="0.25">
      <c r="A2" t="s">
        <v>9</v>
      </c>
      <c r="B2">
        <v>45</v>
      </c>
      <c r="D2" t="s">
        <v>1</v>
      </c>
      <c r="E2">
        <v>1024</v>
      </c>
      <c r="F2" t="s">
        <v>4</v>
      </c>
      <c r="H2" t="s">
        <v>18</v>
      </c>
      <c r="I2" s="3">
        <f>E1/E2</f>
        <v>2.9296875</v>
      </c>
      <c r="J2" t="s">
        <v>12</v>
      </c>
    </row>
    <row r="3" spans="1:10" x14ac:dyDescent="0.25">
      <c r="A3" t="s">
        <v>10</v>
      </c>
      <c r="B3">
        <v>140</v>
      </c>
      <c r="C3" t="s">
        <v>12</v>
      </c>
      <c r="D3" t="s">
        <v>6</v>
      </c>
      <c r="E3">
        <f>ROUND(B3*E2/E1,0)</f>
        <v>48</v>
      </c>
    </row>
    <row r="4" spans="1:10" x14ac:dyDescent="0.25">
      <c r="A4" t="s">
        <v>11</v>
      </c>
      <c r="B4">
        <v>1536</v>
      </c>
      <c r="C4" t="s">
        <v>12</v>
      </c>
      <c r="D4" t="s">
        <v>5</v>
      </c>
      <c r="E4">
        <f>ROUND( B4*E2/E1,0)</f>
        <v>524</v>
      </c>
    </row>
    <row r="5" spans="1:10" s="8" customFormat="1" x14ac:dyDescent="0.25"/>
    <row r="6" spans="1:10" s="1" customFormat="1" ht="30" x14ac:dyDescent="0.25">
      <c r="A6" s="1" t="s">
        <v>7</v>
      </c>
      <c r="B6" s="2" t="s">
        <v>0</v>
      </c>
      <c r="C6" s="2" t="s">
        <v>13</v>
      </c>
      <c r="D6" s="2" t="s">
        <v>14</v>
      </c>
      <c r="E6" s="2" t="s">
        <v>15</v>
      </c>
      <c r="F6" s="2" t="s">
        <v>17</v>
      </c>
      <c r="G6" s="1" t="s">
        <v>19</v>
      </c>
    </row>
    <row r="7" spans="1:10" x14ac:dyDescent="0.25">
      <c r="A7" s="6">
        <v>40</v>
      </c>
      <c r="B7" s="6">
        <f t="shared" ref="B7:B8" si="0">ROUND($E$4-(((A7-$B$2)*($E$4-$E$3))/($B$1-$B$2)),0)</f>
        <v>556</v>
      </c>
      <c r="C7" s="7">
        <f>B7*$E$1/$E$2</f>
        <v>1628.90625</v>
      </c>
      <c r="D7" s="6">
        <v>4000</v>
      </c>
      <c r="E7" s="6"/>
      <c r="F7" s="6">
        <f>E7-D7</f>
        <v>-4000</v>
      </c>
      <c r="G7" s="9">
        <f>ROUND(F7/$I$2,1)</f>
        <v>-1365.3</v>
      </c>
    </row>
    <row r="8" spans="1:10" x14ac:dyDescent="0.25">
      <c r="A8">
        <v>41</v>
      </c>
      <c r="B8">
        <f t="shared" si="0"/>
        <v>549</v>
      </c>
      <c r="C8" s="5">
        <f>B8*$E$1/$E$2</f>
        <v>1608.3984375</v>
      </c>
      <c r="D8">
        <v>4100</v>
      </c>
      <c r="F8">
        <f t="shared" ref="F8:F71" si="1">E8-D8</f>
        <v>-4100</v>
      </c>
      <c r="G8" s="4">
        <f t="shared" ref="G8:G71" si="2">ROUND(F8/$I$2,1)</f>
        <v>-1399.5</v>
      </c>
    </row>
    <row r="9" spans="1:10" x14ac:dyDescent="0.25">
      <c r="A9" s="6">
        <v>42</v>
      </c>
      <c r="B9" s="6">
        <f t="shared" ref="B9:B72" si="3">ROUND($E$4-(((A9-$B$2)*($E$4-$E$3))/($B$1-$B$2)),0)</f>
        <v>543</v>
      </c>
      <c r="C9" s="7">
        <f t="shared" ref="C9:C72" si="4">B9*$E$1/$E$2</f>
        <v>1590.8203125</v>
      </c>
      <c r="D9" s="6">
        <v>4200</v>
      </c>
      <c r="F9">
        <f t="shared" si="1"/>
        <v>-4200</v>
      </c>
      <c r="G9" s="4">
        <f t="shared" si="2"/>
        <v>-1433.6</v>
      </c>
    </row>
    <row r="10" spans="1:10" x14ac:dyDescent="0.25">
      <c r="A10" s="6">
        <v>43</v>
      </c>
      <c r="B10">
        <f t="shared" si="3"/>
        <v>537</v>
      </c>
      <c r="C10" s="5">
        <f t="shared" si="4"/>
        <v>1573.2421875</v>
      </c>
      <c r="D10">
        <v>4300</v>
      </c>
      <c r="F10">
        <f t="shared" si="1"/>
        <v>-4300</v>
      </c>
      <c r="G10" s="4">
        <f t="shared" si="2"/>
        <v>-1467.7</v>
      </c>
    </row>
    <row r="11" spans="1:10" x14ac:dyDescent="0.25">
      <c r="A11">
        <v>44</v>
      </c>
      <c r="B11" s="6">
        <f t="shared" si="3"/>
        <v>530</v>
      </c>
      <c r="C11" s="7">
        <f t="shared" si="4"/>
        <v>1552.734375</v>
      </c>
      <c r="D11" s="6">
        <v>4400</v>
      </c>
      <c r="F11">
        <f t="shared" si="1"/>
        <v>-4400</v>
      </c>
      <c r="G11" s="4">
        <f t="shared" si="2"/>
        <v>-1501.9</v>
      </c>
    </row>
    <row r="12" spans="1:10" x14ac:dyDescent="0.25">
      <c r="A12" s="6">
        <v>45</v>
      </c>
      <c r="B12">
        <f t="shared" si="3"/>
        <v>524</v>
      </c>
      <c r="C12" s="5">
        <f t="shared" si="4"/>
        <v>1535.15625</v>
      </c>
      <c r="D12">
        <v>4500</v>
      </c>
      <c r="F12">
        <f t="shared" si="1"/>
        <v>-4500</v>
      </c>
      <c r="G12" s="4">
        <f t="shared" si="2"/>
        <v>-1536</v>
      </c>
    </row>
    <row r="13" spans="1:10" x14ac:dyDescent="0.25">
      <c r="A13" s="6">
        <v>46</v>
      </c>
      <c r="B13" s="6">
        <f t="shared" si="3"/>
        <v>518</v>
      </c>
      <c r="C13" s="7">
        <f t="shared" si="4"/>
        <v>1517.578125</v>
      </c>
      <c r="D13" s="6">
        <v>4600</v>
      </c>
      <c r="F13">
        <f t="shared" si="1"/>
        <v>-4600</v>
      </c>
      <c r="G13" s="4">
        <f t="shared" si="2"/>
        <v>-1570.1</v>
      </c>
    </row>
    <row r="14" spans="1:10" x14ac:dyDescent="0.25">
      <c r="A14">
        <v>47</v>
      </c>
      <c r="B14">
        <f t="shared" si="3"/>
        <v>511</v>
      </c>
      <c r="C14" s="5">
        <f t="shared" si="4"/>
        <v>1497.0703125</v>
      </c>
      <c r="D14">
        <v>4700</v>
      </c>
      <c r="F14">
        <f t="shared" si="1"/>
        <v>-4700</v>
      </c>
      <c r="G14" s="4">
        <f t="shared" si="2"/>
        <v>-1604.3</v>
      </c>
    </row>
    <row r="15" spans="1:10" x14ac:dyDescent="0.25">
      <c r="A15" s="6">
        <v>48</v>
      </c>
      <c r="B15" s="6">
        <f t="shared" si="3"/>
        <v>505</v>
      </c>
      <c r="C15" s="7">
        <f t="shared" si="4"/>
        <v>1479.4921875</v>
      </c>
      <c r="D15" s="6">
        <v>4800</v>
      </c>
      <c r="F15">
        <f t="shared" si="1"/>
        <v>-4800</v>
      </c>
      <c r="G15" s="4">
        <f t="shared" si="2"/>
        <v>-1638.4</v>
      </c>
    </row>
    <row r="16" spans="1:10" x14ac:dyDescent="0.25">
      <c r="A16" s="6">
        <v>49</v>
      </c>
      <c r="B16">
        <f t="shared" si="3"/>
        <v>499</v>
      </c>
      <c r="C16" s="5">
        <f t="shared" si="4"/>
        <v>1461.9140625</v>
      </c>
      <c r="D16">
        <v>4900</v>
      </c>
      <c r="F16">
        <f t="shared" si="1"/>
        <v>-4900</v>
      </c>
      <c r="G16" s="4">
        <f t="shared" si="2"/>
        <v>-1672.5</v>
      </c>
    </row>
    <row r="17" spans="1:7" x14ac:dyDescent="0.25">
      <c r="A17">
        <v>50</v>
      </c>
      <c r="B17" s="6">
        <f t="shared" si="3"/>
        <v>492</v>
      </c>
      <c r="C17" s="7">
        <f t="shared" si="4"/>
        <v>1441.40625</v>
      </c>
      <c r="D17" s="6">
        <v>5000</v>
      </c>
      <c r="E17" s="6"/>
      <c r="F17" s="6">
        <f t="shared" si="1"/>
        <v>-5000</v>
      </c>
      <c r="G17" s="9">
        <f t="shared" si="2"/>
        <v>-1706.7</v>
      </c>
    </row>
    <row r="18" spans="1:7" x14ac:dyDescent="0.25">
      <c r="A18" s="6">
        <v>51</v>
      </c>
      <c r="B18">
        <f t="shared" si="3"/>
        <v>486</v>
      </c>
      <c r="C18" s="5">
        <f t="shared" si="4"/>
        <v>1423.828125</v>
      </c>
      <c r="D18">
        <v>5100</v>
      </c>
      <c r="F18">
        <f t="shared" si="1"/>
        <v>-5100</v>
      </c>
      <c r="G18" s="4">
        <f t="shared" si="2"/>
        <v>-1740.8</v>
      </c>
    </row>
    <row r="19" spans="1:7" x14ac:dyDescent="0.25">
      <c r="A19" s="6">
        <v>52</v>
      </c>
      <c r="B19" s="6">
        <f t="shared" si="3"/>
        <v>480</v>
      </c>
      <c r="C19" s="7">
        <f t="shared" si="4"/>
        <v>1406.25</v>
      </c>
      <c r="D19" s="6">
        <v>5200</v>
      </c>
      <c r="F19">
        <f t="shared" si="1"/>
        <v>-5200</v>
      </c>
      <c r="G19" s="4">
        <f t="shared" si="2"/>
        <v>-1774.9</v>
      </c>
    </row>
    <row r="20" spans="1:7" x14ac:dyDescent="0.25">
      <c r="A20">
        <v>53</v>
      </c>
      <c r="B20">
        <f t="shared" si="3"/>
        <v>473</v>
      </c>
      <c r="C20" s="5">
        <f t="shared" si="4"/>
        <v>1385.7421875</v>
      </c>
      <c r="D20">
        <v>5300</v>
      </c>
      <c r="F20">
        <f t="shared" si="1"/>
        <v>-5300</v>
      </c>
      <c r="G20" s="4">
        <f t="shared" si="2"/>
        <v>-1809.1</v>
      </c>
    </row>
    <row r="21" spans="1:7" x14ac:dyDescent="0.25">
      <c r="A21" s="6">
        <v>54</v>
      </c>
      <c r="B21" s="6">
        <f t="shared" si="3"/>
        <v>467</v>
      </c>
      <c r="C21" s="7">
        <f t="shared" si="4"/>
        <v>1368.1640625</v>
      </c>
      <c r="D21" s="6">
        <v>5400</v>
      </c>
      <c r="F21">
        <f t="shared" si="1"/>
        <v>-5400</v>
      </c>
      <c r="G21" s="4">
        <f t="shared" si="2"/>
        <v>-1843.2</v>
      </c>
    </row>
    <row r="22" spans="1:7" x14ac:dyDescent="0.25">
      <c r="A22" s="6">
        <v>55</v>
      </c>
      <c r="B22">
        <f t="shared" si="3"/>
        <v>461</v>
      </c>
      <c r="C22" s="5">
        <f t="shared" si="4"/>
        <v>1350.5859375</v>
      </c>
      <c r="D22">
        <v>5500</v>
      </c>
      <c r="F22">
        <f t="shared" si="1"/>
        <v>-5500</v>
      </c>
      <c r="G22" s="4">
        <f t="shared" si="2"/>
        <v>-1877.3</v>
      </c>
    </row>
    <row r="23" spans="1:7" x14ac:dyDescent="0.25">
      <c r="A23">
        <v>56</v>
      </c>
      <c r="B23" s="6">
        <f t="shared" si="3"/>
        <v>454</v>
      </c>
      <c r="C23" s="7">
        <f t="shared" si="4"/>
        <v>1330.078125</v>
      </c>
      <c r="D23" s="6">
        <v>5600</v>
      </c>
      <c r="F23">
        <f t="shared" si="1"/>
        <v>-5600</v>
      </c>
      <c r="G23" s="4">
        <f t="shared" si="2"/>
        <v>-1911.5</v>
      </c>
    </row>
    <row r="24" spans="1:7" x14ac:dyDescent="0.25">
      <c r="A24" s="6">
        <v>57</v>
      </c>
      <c r="B24">
        <f t="shared" si="3"/>
        <v>448</v>
      </c>
      <c r="C24" s="5">
        <f t="shared" si="4"/>
        <v>1312.5</v>
      </c>
      <c r="D24">
        <v>5700</v>
      </c>
      <c r="F24">
        <f t="shared" si="1"/>
        <v>-5700</v>
      </c>
      <c r="G24" s="4">
        <f t="shared" si="2"/>
        <v>-1945.6</v>
      </c>
    </row>
    <row r="25" spans="1:7" x14ac:dyDescent="0.25">
      <c r="A25" s="6">
        <v>58</v>
      </c>
      <c r="B25" s="6">
        <f t="shared" si="3"/>
        <v>441</v>
      </c>
      <c r="C25" s="7">
        <f t="shared" si="4"/>
        <v>1291.9921875</v>
      </c>
      <c r="D25" s="6">
        <v>5800</v>
      </c>
      <c r="F25">
        <f t="shared" si="1"/>
        <v>-5800</v>
      </c>
      <c r="G25" s="4">
        <f t="shared" si="2"/>
        <v>-1979.7</v>
      </c>
    </row>
    <row r="26" spans="1:7" x14ac:dyDescent="0.25">
      <c r="A26">
        <v>59</v>
      </c>
      <c r="B26">
        <f t="shared" si="3"/>
        <v>435</v>
      </c>
      <c r="C26" s="5">
        <f t="shared" si="4"/>
        <v>1274.4140625</v>
      </c>
      <c r="D26">
        <v>5900</v>
      </c>
      <c r="F26">
        <f t="shared" si="1"/>
        <v>-5900</v>
      </c>
      <c r="G26" s="4">
        <f t="shared" si="2"/>
        <v>-2013.9</v>
      </c>
    </row>
    <row r="27" spans="1:7" x14ac:dyDescent="0.25">
      <c r="A27" s="6">
        <v>60</v>
      </c>
      <c r="B27" s="6">
        <f t="shared" si="3"/>
        <v>429</v>
      </c>
      <c r="C27" s="7">
        <f t="shared" si="4"/>
        <v>1256.8359375</v>
      </c>
      <c r="D27" s="6">
        <v>6000</v>
      </c>
      <c r="E27" s="6"/>
      <c r="F27" s="6">
        <f t="shared" si="1"/>
        <v>-6000</v>
      </c>
      <c r="G27" s="9">
        <f t="shared" si="2"/>
        <v>-2048</v>
      </c>
    </row>
    <row r="28" spans="1:7" x14ac:dyDescent="0.25">
      <c r="A28" s="6">
        <v>61</v>
      </c>
      <c r="B28">
        <f t="shared" si="3"/>
        <v>422</v>
      </c>
      <c r="C28" s="5">
        <f t="shared" si="4"/>
        <v>1236.328125</v>
      </c>
      <c r="D28">
        <v>6100</v>
      </c>
      <c r="F28">
        <f t="shared" si="1"/>
        <v>-6100</v>
      </c>
      <c r="G28" s="4">
        <f t="shared" si="2"/>
        <v>-2082.1</v>
      </c>
    </row>
    <row r="29" spans="1:7" x14ac:dyDescent="0.25">
      <c r="A29">
        <v>62</v>
      </c>
      <c r="B29" s="6">
        <f t="shared" si="3"/>
        <v>416</v>
      </c>
      <c r="C29" s="7">
        <f t="shared" si="4"/>
        <v>1218.75</v>
      </c>
      <c r="D29" s="6">
        <v>6200</v>
      </c>
      <c r="F29">
        <f t="shared" si="1"/>
        <v>-6200</v>
      </c>
      <c r="G29" s="4">
        <f t="shared" si="2"/>
        <v>-2116.3000000000002</v>
      </c>
    </row>
    <row r="30" spans="1:7" x14ac:dyDescent="0.25">
      <c r="A30" s="6">
        <v>63</v>
      </c>
      <c r="B30">
        <f t="shared" si="3"/>
        <v>410</v>
      </c>
      <c r="C30" s="5">
        <f t="shared" si="4"/>
        <v>1201.171875</v>
      </c>
      <c r="D30">
        <v>6300</v>
      </c>
      <c r="F30">
        <f t="shared" si="1"/>
        <v>-6300</v>
      </c>
      <c r="G30" s="4">
        <f t="shared" si="2"/>
        <v>-2150.4</v>
      </c>
    </row>
    <row r="31" spans="1:7" x14ac:dyDescent="0.25">
      <c r="A31" s="6">
        <v>64</v>
      </c>
      <c r="B31" s="6">
        <f t="shared" si="3"/>
        <v>403</v>
      </c>
      <c r="C31" s="7">
        <f t="shared" si="4"/>
        <v>1180.6640625</v>
      </c>
      <c r="D31" s="6">
        <v>6400</v>
      </c>
      <c r="F31">
        <f t="shared" si="1"/>
        <v>-6400</v>
      </c>
      <c r="G31" s="4">
        <f t="shared" si="2"/>
        <v>-2184.5</v>
      </c>
    </row>
    <row r="32" spans="1:7" x14ac:dyDescent="0.25">
      <c r="A32">
        <v>65</v>
      </c>
      <c r="B32">
        <f t="shared" si="3"/>
        <v>397</v>
      </c>
      <c r="C32" s="5">
        <f t="shared" si="4"/>
        <v>1163.0859375</v>
      </c>
      <c r="D32">
        <v>6500</v>
      </c>
      <c r="F32">
        <f t="shared" si="1"/>
        <v>-6500</v>
      </c>
      <c r="G32" s="4">
        <f t="shared" si="2"/>
        <v>-2218.6999999999998</v>
      </c>
    </row>
    <row r="33" spans="1:7" x14ac:dyDescent="0.25">
      <c r="A33" s="6">
        <v>66</v>
      </c>
      <c r="B33" s="6">
        <f t="shared" si="3"/>
        <v>391</v>
      </c>
      <c r="C33" s="7">
        <f t="shared" si="4"/>
        <v>1145.5078125</v>
      </c>
      <c r="D33" s="6">
        <v>6600</v>
      </c>
      <c r="F33">
        <f t="shared" si="1"/>
        <v>-6600</v>
      </c>
      <c r="G33" s="4">
        <f t="shared" si="2"/>
        <v>-2252.8000000000002</v>
      </c>
    </row>
    <row r="34" spans="1:7" x14ac:dyDescent="0.25">
      <c r="A34" s="6">
        <v>67</v>
      </c>
      <c r="B34">
        <f t="shared" si="3"/>
        <v>384</v>
      </c>
      <c r="C34" s="5">
        <f t="shared" si="4"/>
        <v>1125</v>
      </c>
      <c r="D34">
        <v>6700</v>
      </c>
      <c r="F34">
        <f t="shared" si="1"/>
        <v>-6700</v>
      </c>
      <c r="G34" s="4">
        <f t="shared" si="2"/>
        <v>-2286.9</v>
      </c>
    </row>
    <row r="35" spans="1:7" x14ac:dyDescent="0.25">
      <c r="A35">
        <v>68</v>
      </c>
      <c r="B35" s="6">
        <f t="shared" si="3"/>
        <v>378</v>
      </c>
      <c r="C35" s="7">
        <f t="shared" si="4"/>
        <v>1107.421875</v>
      </c>
      <c r="D35" s="6">
        <v>6800</v>
      </c>
      <c r="F35">
        <f t="shared" si="1"/>
        <v>-6800</v>
      </c>
      <c r="G35" s="4">
        <f t="shared" si="2"/>
        <v>-2321.1</v>
      </c>
    </row>
    <row r="36" spans="1:7" x14ac:dyDescent="0.25">
      <c r="A36" s="6">
        <v>69</v>
      </c>
      <c r="B36">
        <f t="shared" si="3"/>
        <v>372</v>
      </c>
      <c r="C36" s="5">
        <f t="shared" si="4"/>
        <v>1089.84375</v>
      </c>
      <c r="D36">
        <v>6900</v>
      </c>
      <c r="F36">
        <f t="shared" si="1"/>
        <v>-6900</v>
      </c>
      <c r="G36" s="4">
        <f t="shared" si="2"/>
        <v>-2355.1999999999998</v>
      </c>
    </row>
    <row r="37" spans="1:7" x14ac:dyDescent="0.25">
      <c r="A37" s="6">
        <v>70</v>
      </c>
      <c r="B37" s="6">
        <f t="shared" si="3"/>
        <v>365</v>
      </c>
      <c r="C37" s="7">
        <f t="shared" si="4"/>
        <v>1069.3359375</v>
      </c>
      <c r="D37" s="6">
        <v>7000</v>
      </c>
      <c r="E37" s="6"/>
      <c r="F37" s="6">
        <f t="shared" si="1"/>
        <v>-7000</v>
      </c>
      <c r="G37" s="9">
        <f t="shared" si="2"/>
        <v>-2389.3000000000002</v>
      </c>
    </row>
    <row r="38" spans="1:7" x14ac:dyDescent="0.25">
      <c r="A38">
        <v>71</v>
      </c>
      <c r="B38">
        <f t="shared" si="3"/>
        <v>359</v>
      </c>
      <c r="C38" s="5">
        <f t="shared" si="4"/>
        <v>1051.7578125</v>
      </c>
      <c r="D38">
        <v>7100</v>
      </c>
      <c r="F38">
        <f t="shared" si="1"/>
        <v>-7100</v>
      </c>
      <c r="G38" s="4">
        <f t="shared" si="2"/>
        <v>-2423.5</v>
      </c>
    </row>
    <row r="39" spans="1:7" x14ac:dyDescent="0.25">
      <c r="A39" s="6">
        <v>72</v>
      </c>
      <c r="B39" s="6">
        <f t="shared" si="3"/>
        <v>353</v>
      </c>
      <c r="C39" s="7">
        <f t="shared" si="4"/>
        <v>1034.1796875</v>
      </c>
      <c r="D39" s="6">
        <v>7200</v>
      </c>
      <c r="F39">
        <f t="shared" si="1"/>
        <v>-7200</v>
      </c>
      <c r="G39" s="4">
        <f t="shared" si="2"/>
        <v>-2457.6</v>
      </c>
    </row>
    <row r="40" spans="1:7" x14ac:dyDescent="0.25">
      <c r="A40" s="6">
        <v>73</v>
      </c>
      <c r="B40">
        <f t="shared" si="3"/>
        <v>346</v>
      </c>
      <c r="C40" s="5">
        <f t="shared" si="4"/>
        <v>1013.671875</v>
      </c>
      <c r="D40">
        <v>7300</v>
      </c>
      <c r="F40">
        <f t="shared" si="1"/>
        <v>-7300</v>
      </c>
      <c r="G40" s="4">
        <f t="shared" si="2"/>
        <v>-2491.6999999999998</v>
      </c>
    </row>
    <row r="41" spans="1:7" x14ac:dyDescent="0.25">
      <c r="A41">
        <v>74</v>
      </c>
      <c r="B41" s="6">
        <f t="shared" si="3"/>
        <v>340</v>
      </c>
      <c r="C41" s="7">
        <f t="shared" si="4"/>
        <v>996.09375</v>
      </c>
      <c r="D41" s="6">
        <v>7400</v>
      </c>
      <c r="F41">
        <f t="shared" si="1"/>
        <v>-7400</v>
      </c>
      <c r="G41" s="4">
        <f t="shared" si="2"/>
        <v>-2525.9</v>
      </c>
    </row>
    <row r="42" spans="1:7" x14ac:dyDescent="0.25">
      <c r="A42" s="6">
        <v>75</v>
      </c>
      <c r="B42">
        <f t="shared" si="3"/>
        <v>334</v>
      </c>
      <c r="C42" s="5">
        <f t="shared" si="4"/>
        <v>978.515625</v>
      </c>
      <c r="D42">
        <v>7500</v>
      </c>
      <c r="F42">
        <f t="shared" si="1"/>
        <v>-7500</v>
      </c>
      <c r="G42" s="4">
        <f t="shared" si="2"/>
        <v>-2560</v>
      </c>
    </row>
    <row r="43" spans="1:7" x14ac:dyDescent="0.25">
      <c r="A43" s="6">
        <v>76</v>
      </c>
      <c r="B43" s="6">
        <f t="shared" si="3"/>
        <v>327</v>
      </c>
      <c r="C43" s="7">
        <f t="shared" si="4"/>
        <v>958.0078125</v>
      </c>
      <c r="D43" s="6">
        <v>7600</v>
      </c>
      <c r="F43">
        <f t="shared" si="1"/>
        <v>-7600</v>
      </c>
      <c r="G43" s="4">
        <f t="shared" si="2"/>
        <v>-2594.1</v>
      </c>
    </row>
    <row r="44" spans="1:7" x14ac:dyDescent="0.25">
      <c r="A44">
        <v>77</v>
      </c>
      <c r="B44">
        <f t="shared" si="3"/>
        <v>321</v>
      </c>
      <c r="C44" s="5">
        <f t="shared" si="4"/>
        <v>940.4296875</v>
      </c>
      <c r="D44">
        <v>7700</v>
      </c>
      <c r="F44">
        <f t="shared" si="1"/>
        <v>-7700</v>
      </c>
      <c r="G44" s="4">
        <f t="shared" si="2"/>
        <v>-2628.3</v>
      </c>
    </row>
    <row r="45" spans="1:7" x14ac:dyDescent="0.25">
      <c r="A45" s="6">
        <v>78</v>
      </c>
      <c r="B45" s="6">
        <f t="shared" si="3"/>
        <v>315</v>
      </c>
      <c r="C45" s="7">
        <f t="shared" si="4"/>
        <v>922.8515625</v>
      </c>
      <c r="D45" s="6">
        <v>7800</v>
      </c>
      <c r="F45">
        <f t="shared" si="1"/>
        <v>-7800</v>
      </c>
      <c r="G45" s="4">
        <f t="shared" si="2"/>
        <v>-2662.4</v>
      </c>
    </row>
    <row r="46" spans="1:7" x14ac:dyDescent="0.25">
      <c r="A46" s="6">
        <v>79</v>
      </c>
      <c r="B46">
        <f t="shared" si="3"/>
        <v>308</v>
      </c>
      <c r="C46" s="5">
        <f t="shared" si="4"/>
        <v>902.34375</v>
      </c>
      <c r="D46">
        <v>7900</v>
      </c>
      <c r="F46">
        <f t="shared" si="1"/>
        <v>-7900</v>
      </c>
      <c r="G46" s="4">
        <f t="shared" si="2"/>
        <v>-2696.5</v>
      </c>
    </row>
    <row r="47" spans="1:7" x14ac:dyDescent="0.25">
      <c r="A47">
        <v>80</v>
      </c>
      <c r="B47" s="6">
        <f t="shared" si="3"/>
        <v>302</v>
      </c>
      <c r="C47" s="7">
        <f t="shared" si="4"/>
        <v>884.765625</v>
      </c>
      <c r="D47" s="6">
        <v>8000</v>
      </c>
      <c r="E47" s="6"/>
      <c r="F47" s="6">
        <f t="shared" si="1"/>
        <v>-8000</v>
      </c>
      <c r="G47" s="9">
        <f t="shared" si="2"/>
        <v>-2730.7</v>
      </c>
    </row>
    <row r="48" spans="1:7" x14ac:dyDescent="0.25">
      <c r="A48" s="6">
        <v>81</v>
      </c>
      <c r="B48">
        <f t="shared" si="3"/>
        <v>296</v>
      </c>
      <c r="C48" s="5">
        <f t="shared" si="4"/>
        <v>867.1875</v>
      </c>
      <c r="D48">
        <v>8100</v>
      </c>
      <c r="F48">
        <f t="shared" si="1"/>
        <v>-8100</v>
      </c>
      <c r="G48" s="4">
        <f t="shared" si="2"/>
        <v>-2764.8</v>
      </c>
    </row>
    <row r="49" spans="1:7" x14ac:dyDescent="0.25">
      <c r="A49" s="6">
        <v>82</v>
      </c>
      <c r="B49" s="6">
        <f t="shared" si="3"/>
        <v>289</v>
      </c>
      <c r="C49" s="7">
        <f t="shared" si="4"/>
        <v>846.6796875</v>
      </c>
      <c r="D49" s="6">
        <v>8200</v>
      </c>
      <c r="F49">
        <f t="shared" si="1"/>
        <v>-8200</v>
      </c>
      <c r="G49" s="4">
        <f t="shared" si="2"/>
        <v>-2798.9</v>
      </c>
    </row>
    <row r="50" spans="1:7" x14ac:dyDescent="0.25">
      <c r="A50">
        <v>83</v>
      </c>
      <c r="B50">
        <f t="shared" si="3"/>
        <v>283</v>
      </c>
      <c r="C50" s="5">
        <f t="shared" si="4"/>
        <v>829.1015625</v>
      </c>
      <c r="D50">
        <v>8300</v>
      </c>
      <c r="F50">
        <f t="shared" si="1"/>
        <v>-8300</v>
      </c>
      <c r="G50" s="4">
        <f t="shared" si="2"/>
        <v>-2833.1</v>
      </c>
    </row>
    <row r="51" spans="1:7" x14ac:dyDescent="0.25">
      <c r="A51" s="6">
        <v>84</v>
      </c>
      <c r="B51" s="6">
        <f t="shared" si="3"/>
        <v>276</v>
      </c>
      <c r="C51" s="7">
        <f t="shared" si="4"/>
        <v>808.59375</v>
      </c>
      <c r="D51" s="6">
        <v>8400</v>
      </c>
      <c r="F51">
        <f t="shared" si="1"/>
        <v>-8400</v>
      </c>
      <c r="G51" s="4">
        <f t="shared" si="2"/>
        <v>-2867.2</v>
      </c>
    </row>
    <row r="52" spans="1:7" x14ac:dyDescent="0.25">
      <c r="A52" s="6">
        <v>85</v>
      </c>
      <c r="B52">
        <f t="shared" si="3"/>
        <v>270</v>
      </c>
      <c r="C52" s="5">
        <f t="shared" si="4"/>
        <v>791.015625</v>
      </c>
      <c r="D52">
        <v>8500</v>
      </c>
      <c r="F52">
        <f t="shared" si="1"/>
        <v>-8500</v>
      </c>
      <c r="G52" s="4">
        <f t="shared" si="2"/>
        <v>-2901.3</v>
      </c>
    </row>
    <row r="53" spans="1:7" x14ac:dyDescent="0.25">
      <c r="A53">
        <v>86</v>
      </c>
      <c r="B53" s="6">
        <f t="shared" si="3"/>
        <v>264</v>
      </c>
      <c r="C53" s="7">
        <f t="shared" si="4"/>
        <v>773.4375</v>
      </c>
      <c r="D53" s="6">
        <v>8600</v>
      </c>
      <c r="F53">
        <f t="shared" si="1"/>
        <v>-8600</v>
      </c>
      <c r="G53" s="4">
        <f t="shared" si="2"/>
        <v>-2935.5</v>
      </c>
    </row>
    <row r="54" spans="1:7" x14ac:dyDescent="0.25">
      <c r="A54" s="6">
        <v>87</v>
      </c>
      <c r="B54">
        <f t="shared" si="3"/>
        <v>257</v>
      </c>
      <c r="C54" s="5">
        <f t="shared" si="4"/>
        <v>752.9296875</v>
      </c>
      <c r="D54">
        <v>8700</v>
      </c>
      <c r="F54">
        <f t="shared" si="1"/>
        <v>-8700</v>
      </c>
      <c r="G54" s="4">
        <f t="shared" si="2"/>
        <v>-2969.6</v>
      </c>
    </row>
    <row r="55" spans="1:7" x14ac:dyDescent="0.25">
      <c r="A55" s="6">
        <v>88</v>
      </c>
      <c r="B55" s="6">
        <f t="shared" si="3"/>
        <v>251</v>
      </c>
      <c r="C55" s="7">
        <f t="shared" si="4"/>
        <v>735.3515625</v>
      </c>
      <c r="D55" s="6">
        <v>8800</v>
      </c>
      <c r="F55">
        <f t="shared" si="1"/>
        <v>-8800</v>
      </c>
      <c r="G55" s="4">
        <f t="shared" si="2"/>
        <v>-3003.7</v>
      </c>
    </row>
    <row r="56" spans="1:7" x14ac:dyDescent="0.25">
      <c r="A56">
        <v>89</v>
      </c>
      <c r="B56">
        <f t="shared" si="3"/>
        <v>245</v>
      </c>
      <c r="C56" s="5">
        <f t="shared" si="4"/>
        <v>717.7734375</v>
      </c>
      <c r="D56">
        <v>8900</v>
      </c>
      <c r="F56">
        <f t="shared" si="1"/>
        <v>-8900</v>
      </c>
      <c r="G56" s="4">
        <f t="shared" si="2"/>
        <v>-3037.9</v>
      </c>
    </row>
    <row r="57" spans="1:7" x14ac:dyDescent="0.25">
      <c r="A57" s="6">
        <v>90</v>
      </c>
      <c r="B57" s="6">
        <f t="shared" si="3"/>
        <v>238</v>
      </c>
      <c r="C57" s="7">
        <f t="shared" si="4"/>
        <v>697.265625</v>
      </c>
      <c r="D57" s="6">
        <v>9000</v>
      </c>
      <c r="E57" s="6"/>
      <c r="F57" s="6">
        <f t="shared" si="1"/>
        <v>-9000</v>
      </c>
      <c r="G57" s="9">
        <f t="shared" si="2"/>
        <v>-3072</v>
      </c>
    </row>
    <row r="58" spans="1:7" x14ac:dyDescent="0.25">
      <c r="A58" s="6">
        <v>91</v>
      </c>
      <c r="B58">
        <f t="shared" si="3"/>
        <v>232</v>
      </c>
      <c r="C58" s="5">
        <f t="shared" si="4"/>
        <v>679.6875</v>
      </c>
      <c r="D58">
        <v>9100</v>
      </c>
      <c r="F58">
        <f t="shared" si="1"/>
        <v>-9100</v>
      </c>
      <c r="G58" s="4">
        <f t="shared" si="2"/>
        <v>-3106.1</v>
      </c>
    </row>
    <row r="59" spans="1:7" x14ac:dyDescent="0.25">
      <c r="A59">
        <v>92</v>
      </c>
      <c r="B59" s="6">
        <f t="shared" si="3"/>
        <v>226</v>
      </c>
      <c r="C59" s="7">
        <f t="shared" si="4"/>
        <v>662.109375</v>
      </c>
      <c r="D59" s="6">
        <v>9200</v>
      </c>
      <c r="F59">
        <f t="shared" si="1"/>
        <v>-9200</v>
      </c>
      <c r="G59" s="4">
        <f t="shared" si="2"/>
        <v>-3140.3</v>
      </c>
    </row>
    <row r="60" spans="1:7" x14ac:dyDescent="0.25">
      <c r="A60" s="6">
        <v>93</v>
      </c>
      <c r="B60">
        <f t="shared" si="3"/>
        <v>219</v>
      </c>
      <c r="C60" s="5">
        <f t="shared" si="4"/>
        <v>641.6015625</v>
      </c>
      <c r="D60">
        <v>9300</v>
      </c>
      <c r="F60">
        <f t="shared" si="1"/>
        <v>-9300</v>
      </c>
      <c r="G60" s="4">
        <f t="shared" si="2"/>
        <v>-3174.4</v>
      </c>
    </row>
    <row r="61" spans="1:7" x14ac:dyDescent="0.25">
      <c r="A61" s="6">
        <v>94</v>
      </c>
      <c r="B61" s="6">
        <f t="shared" si="3"/>
        <v>213</v>
      </c>
      <c r="C61" s="7">
        <f t="shared" si="4"/>
        <v>624.0234375</v>
      </c>
      <c r="D61" s="6">
        <v>9400</v>
      </c>
      <c r="F61">
        <f t="shared" si="1"/>
        <v>-9400</v>
      </c>
      <c r="G61" s="4">
        <f t="shared" si="2"/>
        <v>-3208.5</v>
      </c>
    </row>
    <row r="62" spans="1:7" x14ac:dyDescent="0.25">
      <c r="A62">
        <v>95</v>
      </c>
      <c r="B62">
        <f t="shared" si="3"/>
        <v>207</v>
      </c>
      <c r="C62" s="5">
        <f t="shared" si="4"/>
        <v>606.4453125</v>
      </c>
      <c r="D62">
        <v>9500</v>
      </c>
      <c r="F62">
        <f t="shared" si="1"/>
        <v>-9500</v>
      </c>
      <c r="G62" s="4">
        <f t="shared" si="2"/>
        <v>-3242.7</v>
      </c>
    </row>
    <row r="63" spans="1:7" x14ac:dyDescent="0.25">
      <c r="A63" s="6">
        <v>96</v>
      </c>
      <c r="B63" s="6">
        <f t="shared" si="3"/>
        <v>200</v>
      </c>
      <c r="C63" s="7">
        <f t="shared" si="4"/>
        <v>585.9375</v>
      </c>
      <c r="D63" s="6">
        <v>9600</v>
      </c>
      <c r="F63">
        <f t="shared" si="1"/>
        <v>-9600</v>
      </c>
      <c r="G63" s="4">
        <f t="shared" si="2"/>
        <v>-3276.8</v>
      </c>
    </row>
    <row r="64" spans="1:7" x14ac:dyDescent="0.25">
      <c r="A64" s="6">
        <v>97</v>
      </c>
      <c r="B64">
        <f t="shared" si="3"/>
        <v>194</v>
      </c>
      <c r="C64" s="5">
        <f t="shared" si="4"/>
        <v>568.359375</v>
      </c>
      <c r="D64">
        <v>9700</v>
      </c>
      <c r="F64">
        <f t="shared" si="1"/>
        <v>-9700</v>
      </c>
      <c r="G64" s="4">
        <f t="shared" si="2"/>
        <v>-3310.9</v>
      </c>
    </row>
    <row r="65" spans="1:7" x14ac:dyDescent="0.25">
      <c r="A65">
        <v>98</v>
      </c>
      <c r="B65" s="6">
        <f t="shared" si="3"/>
        <v>188</v>
      </c>
      <c r="C65" s="7">
        <f t="shared" si="4"/>
        <v>550.78125</v>
      </c>
      <c r="D65" s="6">
        <v>9800</v>
      </c>
      <c r="F65">
        <f t="shared" si="1"/>
        <v>-9800</v>
      </c>
      <c r="G65" s="4">
        <f t="shared" si="2"/>
        <v>-3345.1</v>
      </c>
    </row>
    <row r="66" spans="1:7" x14ac:dyDescent="0.25">
      <c r="A66" s="6">
        <v>99</v>
      </c>
      <c r="B66">
        <f t="shared" si="3"/>
        <v>181</v>
      </c>
      <c r="C66" s="5">
        <f t="shared" si="4"/>
        <v>530.2734375</v>
      </c>
      <c r="D66">
        <v>9900</v>
      </c>
      <c r="F66">
        <f t="shared" si="1"/>
        <v>-9900</v>
      </c>
      <c r="G66" s="4">
        <f t="shared" si="2"/>
        <v>-3379.2</v>
      </c>
    </row>
    <row r="67" spans="1:7" x14ac:dyDescent="0.25">
      <c r="A67" s="6">
        <v>100</v>
      </c>
      <c r="B67" s="6">
        <f t="shared" si="3"/>
        <v>175</v>
      </c>
      <c r="C67" s="7">
        <f t="shared" si="4"/>
        <v>512.6953125</v>
      </c>
      <c r="D67" s="6">
        <v>10000</v>
      </c>
      <c r="E67" s="6"/>
      <c r="F67" s="6">
        <f t="shared" si="1"/>
        <v>-10000</v>
      </c>
      <c r="G67" s="9">
        <f t="shared" si="2"/>
        <v>-3413.3</v>
      </c>
    </row>
    <row r="68" spans="1:7" x14ac:dyDescent="0.25">
      <c r="A68">
        <v>101</v>
      </c>
      <c r="B68">
        <f t="shared" si="3"/>
        <v>169</v>
      </c>
      <c r="C68" s="5">
        <f t="shared" si="4"/>
        <v>495.1171875</v>
      </c>
      <c r="D68">
        <v>10100</v>
      </c>
      <c r="F68">
        <f t="shared" si="1"/>
        <v>-10100</v>
      </c>
      <c r="G68" s="4">
        <f t="shared" si="2"/>
        <v>-3447.5</v>
      </c>
    </row>
    <row r="69" spans="1:7" x14ac:dyDescent="0.25">
      <c r="A69" s="6">
        <v>102</v>
      </c>
      <c r="B69" s="6">
        <f t="shared" si="3"/>
        <v>162</v>
      </c>
      <c r="C69" s="7">
        <f t="shared" si="4"/>
        <v>474.609375</v>
      </c>
      <c r="D69" s="6">
        <v>10200</v>
      </c>
      <c r="F69">
        <f t="shared" si="1"/>
        <v>-10200</v>
      </c>
      <c r="G69" s="4">
        <f t="shared" si="2"/>
        <v>-3481.6</v>
      </c>
    </row>
    <row r="70" spans="1:7" x14ac:dyDescent="0.25">
      <c r="A70" s="6">
        <v>103</v>
      </c>
      <c r="B70">
        <f t="shared" si="3"/>
        <v>156</v>
      </c>
      <c r="C70" s="5">
        <f t="shared" si="4"/>
        <v>457.03125</v>
      </c>
      <c r="D70">
        <v>10300</v>
      </c>
      <c r="F70">
        <f t="shared" si="1"/>
        <v>-10300</v>
      </c>
      <c r="G70" s="4">
        <f t="shared" si="2"/>
        <v>-3515.7</v>
      </c>
    </row>
    <row r="71" spans="1:7" x14ac:dyDescent="0.25">
      <c r="A71">
        <v>104</v>
      </c>
      <c r="B71" s="6">
        <f t="shared" si="3"/>
        <v>150</v>
      </c>
      <c r="C71" s="7">
        <f t="shared" si="4"/>
        <v>439.453125</v>
      </c>
      <c r="D71" s="6">
        <v>10400</v>
      </c>
      <c r="F71">
        <f t="shared" si="1"/>
        <v>-10400</v>
      </c>
      <c r="G71" s="4">
        <f t="shared" si="2"/>
        <v>-3549.9</v>
      </c>
    </row>
    <row r="72" spans="1:7" x14ac:dyDescent="0.25">
      <c r="A72" s="6">
        <v>105</v>
      </c>
      <c r="B72">
        <f t="shared" si="3"/>
        <v>143</v>
      </c>
      <c r="C72" s="5">
        <f t="shared" si="4"/>
        <v>418.9453125</v>
      </c>
      <c r="D72">
        <v>10500</v>
      </c>
      <c r="F72">
        <f t="shared" ref="F72:F82" si="5">E72-D72</f>
        <v>-10500</v>
      </c>
      <c r="G72" s="4">
        <f t="shared" ref="G72:G82" si="6">ROUND(F72/$I$2,1)</f>
        <v>-3584</v>
      </c>
    </row>
    <row r="73" spans="1:7" x14ac:dyDescent="0.25">
      <c r="A73" s="6">
        <v>106</v>
      </c>
      <c r="B73" s="6">
        <f t="shared" ref="B73:B87" si="7">ROUND($E$4-(((A73-$B$2)*($E$4-$E$3))/($B$1-$B$2)),0)</f>
        <v>137</v>
      </c>
      <c r="C73" s="7">
        <f t="shared" ref="C73:C87" si="8">B73*$E$1/$E$2</f>
        <v>401.3671875</v>
      </c>
      <c r="D73" s="6">
        <v>10600</v>
      </c>
      <c r="F73">
        <f t="shared" si="5"/>
        <v>-10600</v>
      </c>
      <c r="G73" s="4">
        <f t="shared" si="6"/>
        <v>-3618.1</v>
      </c>
    </row>
    <row r="74" spans="1:7" x14ac:dyDescent="0.25">
      <c r="A74">
        <v>107</v>
      </c>
      <c r="B74">
        <f t="shared" si="7"/>
        <v>131</v>
      </c>
      <c r="C74" s="5">
        <f t="shared" si="8"/>
        <v>383.7890625</v>
      </c>
      <c r="D74">
        <v>10700</v>
      </c>
      <c r="F74">
        <f t="shared" si="5"/>
        <v>-10700</v>
      </c>
      <c r="G74" s="4">
        <f t="shared" si="6"/>
        <v>-3652.3</v>
      </c>
    </row>
    <row r="75" spans="1:7" x14ac:dyDescent="0.25">
      <c r="A75" s="6">
        <v>108</v>
      </c>
      <c r="B75" s="6">
        <f t="shared" si="7"/>
        <v>124</v>
      </c>
      <c r="C75" s="7">
        <f t="shared" si="8"/>
        <v>363.28125</v>
      </c>
      <c r="D75" s="6">
        <v>10800</v>
      </c>
      <c r="F75">
        <f t="shared" si="5"/>
        <v>-10800</v>
      </c>
      <c r="G75" s="4">
        <f t="shared" si="6"/>
        <v>-3686.4</v>
      </c>
    </row>
    <row r="76" spans="1:7" x14ac:dyDescent="0.25">
      <c r="A76" s="6">
        <v>109</v>
      </c>
      <c r="B76">
        <f t="shared" si="7"/>
        <v>118</v>
      </c>
      <c r="C76" s="5">
        <f t="shared" si="8"/>
        <v>345.703125</v>
      </c>
      <c r="D76">
        <v>10900</v>
      </c>
      <c r="F76">
        <f t="shared" si="5"/>
        <v>-10900</v>
      </c>
      <c r="G76" s="4">
        <f t="shared" si="6"/>
        <v>-3720.5</v>
      </c>
    </row>
    <row r="77" spans="1:7" x14ac:dyDescent="0.25">
      <c r="A77">
        <v>110</v>
      </c>
      <c r="B77" s="6">
        <f t="shared" si="7"/>
        <v>111</v>
      </c>
      <c r="C77" s="7">
        <f t="shared" si="8"/>
        <v>325.1953125</v>
      </c>
      <c r="D77" s="6">
        <v>11000</v>
      </c>
      <c r="E77" s="6"/>
      <c r="F77" s="6">
        <f t="shared" si="5"/>
        <v>-11000</v>
      </c>
      <c r="G77" s="9">
        <f t="shared" si="6"/>
        <v>-3754.7</v>
      </c>
    </row>
    <row r="78" spans="1:7" x14ac:dyDescent="0.25">
      <c r="A78" s="6">
        <v>111</v>
      </c>
      <c r="B78">
        <f t="shared" si="7"/>
        <v>105</v>
      </c>
      <c r="C78" s="5">
        <f t="shared" si="8"/>
        <v>307.6171875</v>
      </c>
      <c r="D78">
        <v>11100</v>
      </c>
      <c r="F78">
        <f t="shared" si="5"/>
        <v>-11100</v>
      </c>
      <c r="G78" s="4">
        <f t="shared" si="6"/>
        <v>-3788.8</v>
      </c>
    </row>
    <row r="79" spans="1:7" x14ac:dyDescent="0.25">
      <c r="A79" s="6">
        <v>112</v>
      </c>
      <c r="B79" s="6">
        <f t="shared" si="7"/>
        <v>99</v>
      </c>
      <c r="C79" s="7">
        <f t="shared" si="8"/>
        <v>290.0390625</v>
      </c>
      <c r="D79" s="6">
        <v>11200</v>
      </c>
      <c r="E79" s="6"/>
      <c r="F79" s="6">
        <f t="shared" si="5"/>
        <v>-11200</v>
      </c>
      <c r="G79" s="9">
        <f t="shared" si="6"/>
        <v>-3822.9</v>
      </c>
    </row>
    <row r="80" spans="1:7" x14ac:dyDescent="0.25">
      <c r="A80">
        <v>113</v>
      </c>
      <c r="B80">
        <f t="shared" si="7"/>
        <v>92</v>
      </c>
      <c r="C80" s="5">
        <f t="shared" si="8"/>
        <v>269.53125</v>
      </c>
      <c r="D80">
        <v>11300</v>
      </c>
      <c r="F80">
        <f t="shared" si="5"/>
        <v>-11300</v>
      </c>
      <c r="G80" s="4">
        <f t="shared" si="6"/>
        <v>-3857.1</v>
      </c>
    </row>
    <row r="81" spans="1:7" x14ac:dyDescent="0.25">
      <c r="A81" s="6">
        <v>114</v>
      </c>
      <c r="B81" s="6">
        <f t="shared" si="7"/>
        <v>86</v>
      </c>
      <c r="C81" s="7">
        <f t="shared" si="8"/>
        <v>251.953125</v>
      </c>
      <c r="D81" s="6">
        <v>11400</v>
      </c>
      <c r="E81" s="6"/>
      <c r="F81" s="6">
        <f t="shared" si="5"/>
        <v>-11400</v>
      </c>
      <c r="G81" s="9">
        <f t="shared" si="6"/>
        <v>-3891.2</v>
      </c>
    </row>
    <row r="82" spans="1:7" x14ac:dyDescent="0.25">
      <c r="A82" s="6">
        <v>115</v>
      </c>
      <c r="B82">
        <f t="shared" si="7"/>
        <v>80</v>
      </c>
      <c r="C82" s="5">
        <f t="shared" si="8"/>
        <v>234.375</v>
      </c>
      <c r="D82">
        <v>11500</v>
      </c>
      <c r="F82">
        <f t="shared" si="5"/>
        <v>-11500</v>
      </c>
      <c r="G82" s="4">
        <f t="shared" si="6"/>
        <v>-3925.3</v>
      </c>
    </row>
    <row r="83" spans="1:7" x14ac:dyDescent="0.25">
      <c r="A83">
        <v>116</v>
      </c>
      <c r="B83" s="6">
        <f t="shared" si="7"/>
        <v>73</v>
      </c>
      <c r="C83" s="7">
        <f t="shared" si="8"/>
        <v>213.8671875</v>
      </c>
      <c r="D83" s="6">
        <v>11600</v>
      </c>
    </row>
    <row r="84" spans="1:7" x14ac:dyDescent="0.25">
      <c r="A84" s="6">
        <v>117</v>
      </c>
      <c r="B84">
        <f t="shared" si="7"/>
        <v>67</v>
      </c>
      <c r="C84" s="5">
        <f t="shared" si="8"/>
        <v>196.2890625</v>
      </c>
      <c r="D84">
        <v>11700</v>
      </c>
    </row>
    <row r="85" spans="1:7" x14ac:dyDescent="0.25">
      <c r="A85" s="6">
        <v>118</v>
      </c>
      <c r="B85" s="6">
        <f t="shared" si="7"/>
        <v>61</v>
      </c>
      <c r="C85" s="7">
        <f t="shared" si="8"/>
        <v>178.7109375</v>
      </c>
      <c r="D85" s="6">
        <v>11800</v>
      </c>
    </row>
    <row r="86" spans="1:7" x14ac:dyDescent="0.25">
      <c r="A86">
        <v>119</v>
      </c>
      <c r="B86">
        <f t="shared" si="7"/>
        <v>54</v>
      </c>
      <c r="C86" s="5">
        <f t="shared" si="8"/>
        <v>158.203125</v>
      </c>
      <c r="D86">
        <v>11900</v>
      </c>
    </row>
    <row r="87" spans="1:7" x14ac:dyDescent="0.25">
      <c r="A87" s="6">
        <v>120</v>
      </c>
      <c r="B87" s="6">
        <f t="shared" si="7"/>
        <v>48</v>
      </c>
      <c r="C87" s="7">
        <f t="shared" si="8"/>
        <v>140.625</v>
      </c>
      <c r="D87" s="6">
        <v>12000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A6FE-113C-4C36-9E10-B4EB846C4EAB}">
  <dimension ref="A1:J152"/>
  <sheetViews>
    <sheetView tabSelected="1" zoomScale="85" zoomScaleNormal="85" workbookViewId="0">
      <selection activeCell="B7" sqref="B7:B12"/>
    </sheetView>
  </sheetViews>
  <sheetFormatPr baseColWidth="10" defaultRowHeight="15" x14ac:dyDescent="0.25"/>
  <cols>
    <col min="1" max="1" width="14.28515625" bestFit="1" customWidth="1"/>
    <col min="3" max="3" width="11.5703125" customWidth="1"/>
    <col min="4" max="4" width="14.7109375" bestFit="1" customWidth="1"/>
    <col min="5" max="5" width="14.7109375" customWidth="1"/>
    <col min="6" max="6" width="9.7109375" bestFit="1" customWidth="1"/>
    <col min="7" max="7" width="7.28515625" bestFit="1" customWidth="1"/>
    <col min="8" max="8" width="20.7109375" bestFit="1" customWidth="1"/>
    <col min="9" max="9" width="4.5703125" bestFit="1" customWidth="1"/>
  </cols>
  <sheetData>
    <row r="1" spans="1:10" x14ac:dyDescent="0.25">
      <c r="A1" t="s">
        <v>8</v>
      </c>
      <c r="B1">
        <v>185</v>
      </c>
      <c r="D1" t="s">
        <v>2</v>
      </c>
      <c r="E1">
        <v>3000</v>
      </c>
      <c r="F1" t="s">
        <v>3</v>
      </c>
    </row>
    <row r="2" spans="1:10" x14ac:dyDescent="0.25">
      <c r="A2" t="s">
        <v>9</v>
      </c>
      <c r="B2">
        <v>40</v>
      </c>
      <c r="D2" t="s">
        <v>1</v>
      </c>
      <c r="E2">
        <v>1024</v>
      </c>
      <c r="F2" t="s">
        <v>4</v>
      </c>
      <c r="H2" t="s">
        <v>18</v>
      </c>
      <c r="I2" s="3">
        <f>E1/E2</f>
        <v>2.9296875</v>
      </c>
      <c r="J2" t="s">
        <v>12</v>
      </c>
    </row>
    <row r="3" spans="1:10" x14ac:dyDescent="0.25">
      <c r="A3" t="s">
        <v>10</v>
      </c>
      <c r="B3">
        <v>270</v>
      </c>
      <c r="C3" t="s">
        <v>12</v>
      </c>
      <c r="D3" t="s">
        <v>6</v>
      </c>
      <c r="E3">
        <f>ROUND(B3*E2/E1,0)</f>
        <v>92</v>
      </c>
    </row>
    <row r="4" spans="1:10" x14ac:dyDescent="0.25">
      <c r="A4" t="s">
        <v>11</v>
      </c>
      <c r="B4">
        <v>2540</v>
      </c>
      <c r="C4" t="s">
        <v>12</v>
      </c>
      <c r="D4" t="s">
        <v>5</v>
      </c>
      <c r="E4">
        <f>ROUND( B4*E2/E1,0)</f>
        <v>867</v>
      </c>
    </row>
    <row r="5" spans="1:10" s="8" customFormat="1" x14ac:dyDescent="0.25"/>
    <row r="6" spans="1:10" s="1" customFormat="1" ht="30" x14ac:dyDescent="0.25">
      <c r="A6" s="1" t="s">
        <v>7</v>
      </c>
      <c r="B6" s="2" t="s">
        <v>0</v>
      </c>
      <c r="C6" s="2" t="s">
        <v>13</v>
      </c>
      <c r="D6" s="2" t="s">
        <v>14</v>
      </c>
      <c r="E6" s="2" t="s">
        <v>15</v>
      </c>
      <c r="F6" s="2" t="s">
        <v>17</v>
      </c>
      <c r="G6" s="1" t="s">
        <v>19</v>
      </c>
    </row>
    <row r="7" spans="1:10" x14ac:dyDescent="0.25">
      <c r="A7" s="6">
        <v>40</v>
      </c>
      <c r="B7" s="10">
        <f t="shared" ref="B7:B70" si="0">ROUND($E$4-(((A7-$B$2)*($E$4-$E$3))/($B$1-$B$2)),0)</f>
        <v>867</v>
      </c>
      <c r="C7" s="11">
        <f>B7*$E$1/$E$2</f>
        <v>2540.0390625</v>
      </c>
      <c r="D7" s="10">
        <f>A7*100</f>
        <v>4000</v>
      </c>
      <c r="E7" s="6"/>
      <c r="F7" s="6">
        <f>E7-D7</f>
        <v>-4000</v>
      </c>
      <c r="G7" s="9">
        <f>ROUND(F7/$I$2,1)</f>
        <v>-1365.3</v>
      </c>
    </row>
    <row r="8" spans="1:10" x14ac:dyDescent="0.25">
      <c r="A8" s="6">
        <v>41</v>
      </c>
      <c r="B8" s="10">
        <f t="shared" si="0"/>
        <v>862</v>
      </c>
      <c r="C8" s="11">
        <f>B8*$E$1/$E$2</f>
        <v>2525.390625</v>
      </c>
      <c r="D8" s="10">
        <f t="shared" ref="D8:D71" si="1">A8*100</f>
        <v>4100</v>
      </c>
      <c r="F8">
        <f t="shared" ref="F8:F71" si="2">E8-D8</f>
        <v>-4100</v>
      </c>
      <c r="G8" s="4">
        <f t="shared" ref="G8:G71" si="3">ROUND(F8/$I$2,1)</f>
        <v>-1399.5</v>
      </c>
    </row>
    <row r="9" spans="1:10" x14ac:dyDescent="0.25">
      <c r="A9" s="6">
        <v>42</v>
      </c>
      <c r="B9" s="10">
        <f t="shared" si="0"/>
        <v>856</v>
      </c>
      <c r="C9" s="11">
        <f t="shared" ref="C9:C72" si="4">B9*$E$1/$E$2</f>
        <v>2507.8125</v>
      </c>
      <c r="D9" s="10">
        <f t="shared" si="1"/>
        <v>4200</v>
      </c>
      <c r="F9">
        <f t="shared" si="2"/>
        <v>-4200</v>
      </c>
      <c r="G9" s="4">
        <f t="shared" si="3"/>
        <v>-1433.6</v>
      </c>
    </row>
    <row r="10" spans="1:10" x14ac:dyDescent="0.25">
      <c r="A10" s="6">
        <v>43</v>
      </c>
      <c r="B10" s="10">
        <f t="shared" si="0"/>
        <v>851</v>
      </c>
      <c r="C10" s="11">
        <f t="shared" si="4"/>
        <v>2493.1640625</v>
      </c>
      <c r="D10" s="10">
        <f t="shared" si="1"/>
        <v>4300</v>
      </c>
      <c r="F10">
        <f t="shared" si="2"/>
        <v>-4300</v>
      </c>
      <c r="G10" s="4">
        <f t="shared" si="3"/>
        <v>-1467.7</v>
      </c>
    </row>
    <row r="11" spans="1:10" x14ac:dyDescent="0.25">
      <c r="A11" s="6">
        <v>44</v>
      </c>
      <c r="B11" s="10">
        <f t="shared" si="0"/>
        <v>846</v>
      </c>
      <c r="C11" s="11">
        <f t="shared" si="4"/>
        <v>2478.515625</v>
      </c>
      <c r="D11" s="10">
        <f t="shared" si="1"/>
        <v>4400</v>
      </c>
      <c r="F11">
        <f t="shared" si="2"/>
        <v>-4400</v>
      </c>
      <c r="G11" s="4">
        <f t="shared" si="3"/>
        <v>-1501.9</v>
      </c>
    </row>
    <row r="12" spans="1:10" x14ac:dyDescent="0.25">
      <c r="A12" s="6">
        <v>45</v>
      </c>
      <c r="B12" s="10">
        <f t="shared" si="0"/>
        <v>840</v>
      </c>
      <c r="C12" s="11">
        <f t="shared" si="4"/>
        <v>2460.9375</v>
      </c>
      <c r="D12" s="10">
        <f t="shared" si="1"/>
        <v>4500</v>
      </c>
      <c r="F12">
        <f t="shared" si="2"/>
        <v>-4500</v>
      </c>
      <c r="G12" s="4">
        <f t="shared" si="3"/>
        <v>-1536</v>
      </c>
    </row>
    <row r="13" spans="1:10" x14ac:dyDescent="0.25">
      <c r="A13" s="6">
        <v>46</v>
      </c>
      <c r="B13" s="10">
        <f t="shared" si="0"/>
        <v>835</v>
      </c>
      <c r="C13" s="11">
        <f t="shared" si="4"/>
        <v>2446.2890625</v>
      </c>
      <c r="D13" s="10">
        <f t="shared" si="1"/>
        <v>4600</v>
      </c>
      <c r="F13">
        <f t="shared" si="2"/>
        <v>-4600</v>
      </c>
      <c r="G13" s="4">
        <f t="shared" si="3"/>
        <v>-1570.1</v>
      </c>
    </row>
    <row r="14" spans="1:10" x14ac:dyDescent="0.25">
      <c r="A14" s="6">
        <v>47</v>
      </c>
      <c r="B14" s="10">
        <f t="shared" si="0"/>
        <v>830</v>
      </c>
      <c r="C14" s="11">
        <f t="shared" si="4"/>
        <v>2431.640625</v>
      </c>
      <c r="D14" s="10">
        <f t="shared" si="1"/>
        <v>4700</v>
      </c>
      <c r="F14">
        <f t="shared" si="2"/>
        <v>-4700</v>
      </c>
      <c r="G14" s="4">
        <f t="shared" si="3"/>
        <v>-1604.3</v>
      </c>
    </row>
    <row r="15" spans="1:10" x14ac:dyDescent="0.25">
      <c r="A15" s="6">
        <v>48</v>
      </c>
      <c r="B15" s="10">
        <f t="shared" si="0"/>
        <v>824</v>
      </c>
      <c r="C15" s="11">
        <f t="shared" si="4"/>
        <v>2414.0625</v>
      </c>
      <c r="D15" s="10">
        <f t="shared" si="1"/>
        <v>4800</v>
      </c>
      <c r="F15">
        <f t="shared" si="2"/>
        <v>-4800</v>
      </c>
      <c r="G15" s="4">
        <f t="shared" si="3"/>
        <v>-1638.4</v>
      </c>
    </row>
    <row r="16" spans="1:10" x14ac:dyDescent="0.25">
      <c r="A16" s="6">
        <v>49</v>
      </c>
      <c r="B16" s="10">
        <f t="shared" si="0"/>
        <v>819</v>
      </c>
      <c r="C16" s="11">
        <f t="shared" si="4"/>
        <v>2399.4140625</v>
      </c>
      <c r="D16" s="10">
        <f t="shared" si="1"/>
        <v>4900</v>
      </c>
      <c r="F16">
        <f t="shared" si="2"/>
        <v>-4900</v>
      </c>
      <c r="G16" s="4">
        <f t="shared" si="3"/>
        <v>-1672.5</v>
      </c>
    </row>
    <row r="17" spans="1:7" x14ac:dyDescent="0.25">
      <c r="A17" s="6">
        <v>50</v>
      </c>
      <c r="B17" s="10">
        <f t="shared" si="0"/>
        <v>814</v>
      </c>
      <c r="C17" s="11">
        <f t="shared" si="4"/>
        <v>2384.765625</v>
      </c>
      <c r="D17" s="10">
        <f t="shared" si="1"/>
        <v>5000</v>
      </c>
      <c r="E17" s="6"/>
      <c r="F17" s="6">
        <f t="shared" si="2"/>
        <v>-5000</v>
      </c>
      <c r="G17" s="9">
        <f t="shared" si="3"/>
        <v>-1706.7</v>
      </c>
    </row>
    <row r="18" spans="1:7" x14ac:dyDescent="0.25">
      <c r="A18" s="6">
        <v>51</v>
      </c>
      <c r="B18" s="10">
        <f t="shared" si="0"/>
        <v>808</v>
      </c>
      <c r="C18" s="11">
        <f t="shared" si="4"/>
        <v>2367.1875</v>
      </c>
      <c r="D18" s="10">
        <f t="shared" si="1"/>
        <v>5100</v>
      </c>
      <c r="F18">
        <f t="shared" si="2"/>
        <v>-5100</v>
      </c>
      <c r="G18" s="4">
        <f t="shared" si="3"/>
        <v>-1740.8</v>
      </c>
    </row>
    <row r="19" spans="1:7" x14ac:dyDescent="0.25">
      <c r="A19" s="6">
        <v>52</v>
      </c>
      <c r="B19" s="10">
        <f t="shared" si="0"/>
        <v>803</v>
      </c>
      <c r="C19" s="11">
        <f t="shared" si="4"/>
        <v>2352.5390625</v>
      </c>
      <c r="D19" s="10">
        <f t="shared" si="1"/>
        <v>5200</v>
      </c>
      <c r="F19">
        <f t="shared" si="2"/>
        <v>-5200</v>
      </c>
      <c r="G19" s="4">
        <f t="shared" si="3"/>
        <v>-1774.9</v>
      </c>
    </row>
    <row r="20" spans="1:7" x14ac:dyDescent="0.25">
      <c r="A20" s="6">
        <v>53</v>
      </c>
      <c r="B20" s="10">
        <f t="shared" si="0"/>
        <v>798</v>
      </c>
      <c r="C20" s="11">
        <f t="shared" si="4"/>
        <v>2337.890625</v>
      </c>
      <c r="D20" s="10">
        <f t="shared" si="1"/>
        <v>5300</v>
      </c>
      <c r="F20">
        <f t="shared" si="2"/>
        <v>-5300</v>
      </c>
      <c r="G20" s="4">
        <f t="shared" si="3"/>
        <v>-1809.1</v>
      </c>
    </row>
    <row r="21" spans="1:7" x14ac:dyDescent="0.25">
      <c r="A21" s="6">
        <v>54</v>
      </c>
      <c r="B21" s="10">
        <f t="shared" si="0"/>
        <v>792</v>
      </c>
      <c r="C21" s="11">
        <f t="shared" si="4"/>
        <v>2320.3125</v>
      </c>
      <c r="D21" s="10">
        <f t="shared" si="1"/>
        <v>5400</v>
      </c>
      <c r="F21">
        <f t="shared" si="2"/>
        <v>-5400</v>
      </c>
      <c r="G21" s="4">
        <f t="shared" si="3"/>
        <v>-1843.2</v>
      </c>
    </row>
    <row r="22" spans="1:7" x14ac:dyDescent="0.25">
      <c r="A22" s="6">
        <v>55</v>
      </c>
      <c r="B22" s="10">
        <f t="shared" si="0"/>
        <v>787</v>
      </c>
      <c r="C22" s="11">
        <f t="shared" si="4"/>
        <v>2305.6640625</v>
      </c>
      <c r="D22" s="10">
        <f t="shared" si="1"/>
        <v>5500</v>
      </c>
      <c r="F22">
        <f t="shared" si="2"/>
        <v>-5500</v>
      </c>
      <c r="G22" s="4">
        <f t="shared" si="3"/>
        <v>-1877.3</v>
      </c>
    </row>
    <row r="23" spans="1:7" x14ac:dyDescent="0.25">
      <c r="A23" s="6">
        <v>56</v>
      </c>
      <c r="B23" s="10">
        <f t="shared" si="0"/>
        <v>781</v>
      </c>
      <c r="C23" s="11">
        <f t="shared" si="4"/>
        <v>2288.0859375</v>
      </c>
      <c r="D23" s="10">
        <f t="shared" si="1"/>
        <v>5600</v>
      </c>
      <c r="F23">
        <f t="shared" si="2"/>
        <v>-5600</v>
      </c>
      <c r="G23" s="4">
        <f t="shared" si="3"/>
        <v>-1911.5</v>
      </c>
    </row>
    <row r="24" spans="1:7" x14ac:dyDescent="0.25">
      <c r="A24" s="6">
        <v>57</v>
      </c>
      <c r="B24" s="10">
        <f t="shared" si="0"/>
        <v>776</v>
      </c>
      <c r="C24" s="11">
        <f t="shared" si="4"/>
        <v>2273.4375</v>
      </c>
      <c r="D24" s="10">
        <f t="shared" si="1"/>
        <v>5700</v>
      </c>
      <c r="F24">
        <f t="shared" si="2"/>
        <v>-5700</v>
      </c>
      <c r="G24" s="4">
        <f t="shared" si="3"/>
        <v>-1945.6</v>
      </c>
    </row>
    <row r="25" spans="1:7" x14ac:dyDescent="0.25">
      <c r="A25" s="6">
        <v>58</v>
      </c>
      <c r="B25" s="10">
        <f t="shared" si="0"/>
        <v>771</v>
      </c>
      <c r="C25" s="11">
        <f t="shared" si="4"/>
        <v>2258.7890625</v>
      </c>
      <c r="D25" s="10">
        <f t="shared" si="1"/>
        <v>5800</v>
      </c>
      <c r="F25">
        <f t="shared" si="2"/>
        <v>-5800</v>
      </c>
      <c r="G25" s="4">
        <f t="shared" si="3"/>
        <v>-1979.7</v>
      </c>
    </row>
    <row r="26" spans="1:7" x14ac:dyDescent="0.25">
      <c r="A26" s="6">
        <v>59</v>
      </c>
      <c r="B26" s="10">
        <f t="shared" si="0"/>
        <v>765</v>
      </c>
      <c r="C26" s="11">
        <f t="shared" si="4"/>
        <v>2241.2109375</v>
      </c>
      <c r="D26" s="10">
        <f t="shared" si="1"/>
        <v>5900</v>
      </c>
      <c r="F26">
        <f t="shared" si="2"/>
        <v>-5900</v>
      </c>
      <c r="G26" s="4">
        <f t="shared" si="3"/>
        <v>-2013.9</v>
      </c>
    </row>
    <row r="27" spans="1:7" x14ac:dyDescent="0.25">
      <c r="A27" s="6">
        <v>60</v>
      </c>
      <c r="B27" s="10">
        <f t="shared" si="0"/>
        <v>760</v>
      </c>
      <c r="C27" s="11">
        <f t="shared" si="4"/>
        <v>2226.5625</v>
      </c>
      <c r="D27" s="10">
        <f t="shared" si="1"/>
        <v>6000</v>
      </c>
      <c r="E27" s="6"/>
      <c r="F27" s="6">
        <f t="shared" si="2"/>
        <v>-6000</v>
      </c>
      <c r="G27" s="9">
        <f t="shared" si="3"/>
        <v>-2048</v>
      </c>
    </row>
    <row r="28" spans="1:7" x14ac:dyDescent="0.25">
      <c r="A28" s="6">
        <v>61</v>
      </c>
      <c r="B28" s="10">
        <f t="shared" si="0"/>
        <v>755</v>
      </c>
      <c r="C28" s="11">
        <f t="shared" si="4"/>
        <v>2211.9140625</v>
      </c>
      <c r="D28" s="10">
        <f t="shared" si="1"/>
        <v>6100</v>
      </c>
      <c r="F28">
        <f t="shared" si="2"/>
        <v>-6100</v>
      </c>
      <c r="G28" s="4">
        <f t="shared" si="3"/>
        <v>-2082.1</v>
      </c>
    </row>
    <row r="29" spans="1:7" x14ac:dyDescent="0.25">
      <c r="A29" s="6">
        <v>62</v>
      </c>
      <c r="B29" s="10">
        <f t="shared" si="0"/>
        <v>749</v>
      </c>
      <c r="C29" s="11">
        <f t="shared" si="4"/>
        <v>2194.3359375</v>
      </c>
      <c r="D29" s="10">
        <f t="shared" si="1"/>
        <v>6200</v>
      </c>
      <c r="F29">
        <f t="shared" si="2"/>
        <v>-6200</v>
      </c>
      <c r="G29" s="4">
        <f t="shared" si="3"/>
        <v>-2116.3000000000002</v>
      </c>
    </row>
    <row r="30" spans="1:7" x14ac:dyDescent="0.25">
      <c r="A30" s="6">
        <v>63</v>
      </c>
      <c r="B30" s="10">
        <f t="shared" si="0"/>
        <v>744</v>
      </c>
      <c r="C30" s="11">
        <f t="shared" si="4"/>
        <v>2179.6875</v>
      </c>
      <c r="D30" s="10">
        <f t="shared" si="1"/>
        <v>6300</v>
      </c>
      <c r="F30">
        <f t="shared" si="2"/>
        <v>-6300</v>
      </c>
      <c r="G30" s="4">
        <f t="shared" si="3"/>
        <v>-2150.4</v>
      </c>
    </row>
    <row r="31" spans="1:7" x14ac:dyDescent="0.25">
      <c r="A31" s="6">
        <v>64</v>
      </c>
      <c r="B31" s="10">
        <f t="shared" si="0"/>
        <v>739</v>
      </c>
      <c r="C31" s="11">
        <f t="shared" si="4"/>
        <v>2165.0390625</v>
      </c>
      <c r="D31" s="10">
        <f t="shared" si="1"/>
        <v>6400</v>
      </c>
      <c r="F31">
        <f t="shared" si="2"/>
        <v>-6400</v>
      </c>
      <c r="G31" s="4">
        <f t="shared" si="3"/>
        <v>-2184.5</v>
      </c>
    </row>
    <row r="32" spans="1:7" x14ac:dyDescent="0.25">
      <c r="A32" s="6">
        <v>65</v>
      </c>
      <c r="B32" s="10">
        <f t="shared" si="0"/>
        <v>733</v>
      </c>
      <c r="C32" s="11">
        <f t="shared" si="4"/>
        <v>2147.4609375</v>
      </c>
      <c r="D32" s="10">
        <f t="shared" si="1"/>
        <v>6500</v>
      </c>
      <c r="F32">
        <f t="shared" si="2"/>
        <v>-6500</v>
      </c>
      <c r="G32" s="4">
        <f t="shared" si="3"/>
        <v>-2218.6999999999998</v>
      </c>
    </row>
    <row r="33" spans="1:7" x14ac:dyDescent="0.25">
      <c r="A33" s="6">
        <v>66</v>
      </c>
      <c r="B33" s="10">
        <f t="shared" si="0"/>
        <v>728</v>
      </c>
      <c r="C33" s="11">
        <f t="shared" si="4"/>
        <v>2132.8125</v>
      </c>
      <c r="D33" s="10">
        <f t="shared" si="1"/>
        <v>6600</v>
      </c>
      <c r="F33">
        <f t="shared" si="2"/>
        <v>-6600</v>
      </c>
      <c r="G33" s="4">
        <f t="shared" si="3"/>
        <v>-2252.8000000000002</v>
      </c>
    </row>
    <row r="34" spans="1:7" x14ac:dyDescent="0.25">
      <c r="A34" s="6">
        <v>67</v>
      </c>
      <c r="B34" s="10">
        <f t="shared" si="0"/>
        <v>723</v>
      </c>
      <c r="C34" s="11">
        <f t="shared" si="4"/>
        <v>2118.1640625</v>
      </c>
      <c r="D34" s="10">
        <f t="shared" si="1"/>
        <v>6700</v>
      </c>
      <c r="F34">
        <f t="shared" si="2"/>
        <v>-6700</v>
      </c>
      <c r="G34" s="4">
        <f t="shared" si="3"/>
        <v>-2286.9</v>
      </c>
    </row>
    <row r="35" spans="1:7" x14ac:dyDescent="0.25">
      <c r="A35" s="6">
        <v>68</v>
      </c>
      <c r="B35" s="10">
        <f t="shared" si="0"/>
        <v>717</v>
      </c>
      <c r="C35" s="11">
        <f t="shared" si="4"/>
        <v>2100.5859375</v>
      </c>
      <c r="D35" s="10">
        <f t="shared" si="1"/>
        <v>6800</v>
      </c>
      <c r="F35">
        <f t="shared" si="2"/>
        <v>-6800</v>
      </c>
      <c r="G35" s="4">
        <f t="shared" si="3"/>
        <v>-2321.1</v>
      </c>
    </row>
    <row r="36" spans="1:7" x14ac:dyDescent="0.25">
      <c r="A36" s="6">
        <v>69</v>
      </c>
      <c r="B36" s="10">
        <f t="shared" si="0"/>
        <v>712</v>
      </c>
      <c r="C36" s="11">
        <f t="shared" si="4"/>
        <v>2085.9375</v>
      </c>
      <c r="D36" s="10">
        <f t="shared" si="1"/>
        <v>6900</v>
      </c>
      <c r="F36">
        <f t="shared" si="2"/>
        <v>-6900</v>
      </c>
      <c r="G36" s="4">
        <f t="shared" si="3"/>
        <v>-2355.1999999999998</v>
      </c>
    </row>
    <row r="37" spans="1:7" x14ac:dyDescent="0.25">
      <c r="A37" s="6">
        <v>70</v>
      </c>
      <c r="B37" s="10">
        <f t="shared" si="0"/>
        <v>707</v>
      </c>
      <c r="C37" s="11">
        <f t="shared" si="4"/>
        <v>2071.2890625</v>
      </c>
      <c r="D37" s="10">
        <f t="shared" si="1"/>
        <v>7000</v>
      </c>
      <c r="E37" s="6"/>
      <c r="F37" s="6">
        <f t="shared" si="2"/>
        <v>-7000</v>
      </c>
      <c r="G37" s="9">
        <f t="shared" si="3"/>
        <v>-2389.3000000000002</v>
      </c>
    </row>
    <row r="38" spans="1:7" x14ac:dyDescent="0.25">
      <c r="A38" s="6">
        <v>71</v>
      </c>
      <c r="B38" s="10">
        <f t="shared" si="0"/>
        <v>701</v>
      </c>
      <c r="C38" s="11">
        <f t="shared" si="4"/>
        <v>2053.7109375</v>
      </c>
      <c r="D38" s="10">
        <f t="shared" si="1"/>
        <v>7100</v>
      </c>
      <c r="F38">
        <f t="shared" si="2"/>
        <v>-7100</v>
      </c>
      <c r="G38" s="4">
        <f t="shared" si="3"/>
        <v>-2423.5</v>
      </c>
    </row>
    <row r="39" spans="1:7" x14ac:dyDescent="0.25">
      <c r="A39" s="6">
        <v>72</v>
      </c>
      <c r="B39" s="10">
        <f t="shared" si="0"/>
        <v>696</v>
      </c>
      <c r="C39" s="11">
        <f t="shared" si="4"/>
        <v>2039.0625</v>
      </c>
      <c r="D39" s="10">
        <f t="shared" si="1"/>
        <v>7200</v>
      </c>
      <c r="F39">
        <f t="shared" si="2"/>
        <v>-7200</v>
      </c>
      <c r="G39" s="4">
        <f t="shared" si="3"/>
        <v>-2457.6</v>
      </c>
    </row>
    <row r="40" spans="1:7" x14ac:dyDescent="0.25">
      <c r="A40" s="6">
        <v>73</v>
      </c>
      <c r="B40" s="10">
        <f t="shared" si="0"/>
        <v>691</v>
      </c>
      <c r="C40" s="11">
        <f t="shared" si="4"/>
        <v>2024.4140625</v>
      </c>
      <c r="D40" s="10">
        <f t="shared" si="1"/>
        <v>7300</v>
      </c>
      <c r="F40">
        <f t="shared" si="2"/>
        <v>-7300</v>
      </c>
      <c r="G40" s="4">
        <f t="shared" si="3"/>
        <v>-2491.6999999999998</v>
      </c>
    </row>
    <row r="41" spans="1:7" x14ac:dyDescent="0.25">
      <c r="A41" s="6">
        <v>74</v>
      </c>
      <c r="B41" s="10">
        <f t="shared" si="0"/>
        <v>685</v>
      </c>
      <c r="C41" s="11">
        <f t="shared" si="4"/>
        <v>2006.8359375</v>
      </c>
      <c r="D41" s="10">
        <f t="shared" si="1"/>
        <v>7400</v>
      </c>
      <c r="F41">
        <f t="shared" si="2"/>
        <v>-7400</v>
      </c>
      <c r="G41" s="4">
        <f t="shared" si="3"/>
        <v>-2525.9</v>
      </c>
    </row>
    <row r="42" spans="1:7" x14ac:dyDescent="0.25">
      <c r="A42" s="6">
        <v>75</v>
      </c>
      <c r="B42" s="10">
        <f t="shared" si="0"/>
        <v>680</v>
      </c>
      <c r="C42" s="11">
        <f t="shared" si="4"/>
        <v>1992.1875</v>
      </c>
      <c r="D42" s="10">
        <f t="shared" si="1"/>
        <v>7500</v>
      </c>
      <c r="F42">
        <f t="shared" si="2"/>
        <v>-7500</v>
      </c>
      <c r="G42" s="4">
        <f t="shared" si="3"/>
        <v>-2560</v>
      </c>
    </row>
    <row r="43" spans="1:7" x14ac:dyDescent="0.25">
      <c r="A43" s="6">
        <v>76</v>
      </c>
      <c r="B43" s="10">
        <f t="shared" si="0"/>
        <v>675</v>
      </c>
      <c r="C43" s="11">
        <f t="shared" si="4"/>
        <v>1977.5390625</v>
      </c>
      <c r="D43" s="10">
        <f t="shared" si="1"/>
        <v>7600</v>
      </c>
      <c r="F43">
        <f t="shared" si="2"/>
        <v>-7600</v>
      </c>
      <c r="G43" s="4">
        <f t="shared" si="3"/>
        <v>-2594.1</v>
      </c>
    </row>
    <row r="44" spans="1:7" x14ac:dyDescent="0.25">
      <c r="A44" s="6">
        <v>77</v>
      </c>
      <c r="B44" s="10">
        <f t="shared" si="0"/>
        <v>669</v>
      </c>
      <c r="C44" s="11">
        <f t="shared" si="4"/>
        <v>1959.9609375</v>
      </c>
      <c r="D44" s="10">
        <f t="shared" si="1"/>
        <v>7700</v>
      </c>
      <c r="F44">
        <f t="shared" si="2"/>
        <v>-7700</v>
      </c>
      <c r="G44" s="4">
        <f t="shared" si="3"/>
        <v>-2628.3</v>
      </c>
    </row>
    <row r="45" spans="1:7" x14ac:dyDescent="0.25">
      <c r="A45" s="6">
        <v>78</v>
      </c>
      <c r="B45" s="10">
        <f t="shared" si="0"/>
        <v>664</v>
      </c>
      <c r="C45" s="11">
        <f t="shared" si="4"/>
        <v>1945.3125</v>
      </c>
      <c r="D45" s="10">
        <f t="shared" si="1"/>
        <v>7800</v>
      </c>
      <c r="F45">
        <f t="shared" si="2"/>
        <v>-7800</v>
      </c>
      <c r="G45" s="4">
        <f t="shared" si="3"/>
        <v>-2662.4</v>
      </c>
    </row>
    <row r="46" spans="1:7" x14ac:dyDescent="0.25">
      <c r="A46" s="6">
        <v>79</v>
      </c>
      <c r="B46" s="10">
        <f t="shared" si="0"/>
        <v>659</v>
      </c>
      <c r="C46" s="11">
        <f t="shared" si="4"/>
        <v>1930.6640625</v>
      </c>
      <c r="D46" s="10">
        <f t="shared" si="1"/>
        <v>7900</v>
      </c>
      <c r="F46">
        <f t="shared" si="2"/>
        <v>-7900</v>
      </c>
      <c r="G46" s="4">
        <f t="shared" si="3"/>
        <v>-2696.5</v>
      </c>
    </row>
    <row r="47" spans="1:7" x14ac:dyDescent="0.25">
      <c r="A47" s="6">
        <v>80</v>
      </c>
      <c r="B47" s="10">
        <f t="shared" si="0"/>
        <v>653</v>
      </c>
      <c r="C47" s="11">
        <f t="shared" si="4"/>
        <v>1913.0859375</v>
      </c>
      <c r="D47" s="10">
        <f t="shared" si="1"/>
        <v>8000</v>
      </c>
      <c r="E47" s="6"/>
      <c r="F47" s="6">
        <f t="shared" si="2"/>
        <v>-8000</v>
      </c>
      <c r="G47" s="9">
        <f t="shared" si="3"/>
        <v>-2730.7</v>
      </c>
    </row>
    <row r="48" spans="1:7" x14ac:dyDescent="0.25">
      <c r="A48" s="6">
        <v>81</v>
      </c>
      <c r="B48" s="10">
        <f t="shared" si="0"/>
        <v>648</v>
      </c>
      <c r="C48" s="11">
        <f t="shared" si="4"/>
        <v>1898.4375</v>
      </c>
      <c r="D48" s="10">
        <f t="shared" si="1"/>
        <v>8100</v>
      </c>
      <c r="F48">
        <f t="shared" si="2"/>
        <v>-8100</v>
      </c>
      <c r="G48" s="4">
        <f t="shared" si="3"/>
        <v>-2764.8</v>
      </c>
    </row>
    <row r="49" spans="1:7" x14ac:dyDescent="0.25">
      <c r="A49" s="6">
        <v>82</v>
      </c>
      <c r="B49" s="10">
        <f t="shared" si="0"/>
        <v>643</v>
      </c>
      <c r="C49" s="11">
        <f t="shared" si="4"/>
        <v>1883.7890625</v>
      </c>
      <c r="D49" s="10">
        <f t="shared" si="1"/>
        <v>8200</v>
      </c>
      <c r="F49">
        <f t="shared" si="2"/>
        <v>-8200</v>
      </c>
      <c r="G49" s="4">
        <f t="shared" si="3"/>
        <v>-2798.9</v>
      </c>
    </row>
    <row r="50" spans="1:7" x14ac:dyDescent="0.25">
      <c r="A50" s="6">
        <v>83</v>
      </c>
      <c r="B50" s="10">
        <f t="shared" si="0"/>
        <v>637</v>
      </c>
      <c r="C50" s="11">
        <f t="shared" si="4"/>
        <v>1866.2109375</v>
      </c>
      <c r="D50" s="10">
        <f t="shared" si="1"/>
        <v>8300</v>
      </c>
      <c r="F50">
        <f t="shared" si="2"/>
        <v>-8300</v>
      </c>
      <c r="G50" s="4">
        <f t="shared" si="3"/>
        <v>-2833.1</v>
      </c>
    </row>
    <row r="51" spans="1:7" x14ac:dyDescent="0.25">
      <c r="A51" s="6">
        <v>84</v>
      </c>
      <c r="B51" s="10">
        <f t="shared" si="0"/>
        <v>632</v>
      </c>
      <c r="C51" s="11">
        <f t="shared" si="4"/>
        <v>1851.5625</v>
      </c>
      <c r="D51" s="10">
        <f t="shared" si="1"/>
        <v>8400</v>
      </c>
      <c r="F51">
        <f t="shared" si="2"/>
        <v>-8400</v>
      </c>
      <c r="G51" s="4">
        <f t="shared" si="3"/>
        <v>-2867.2</v>
      </c>
    </row>
    <row r="52" spans="1:7" x14ac:dyDescent="0.25">
      <c r="A52" s="6">
        <v>85</v>
      </c>
      <c r="B52" s="10">
        <f t="shared" si="0"/>
        <v>626</v>
      </c>
      <c r="C52" s="11">
        <f t="shared" si="4"/>
        <v>1833.984375</v>
      </c>
      <c r="D52" s="10">
        <f t="shared" si="1"/>
        <v>8500</v>
      </c>
      <c r="F52">
        <f t="shared" si="2"/>
        <v>-8500</v>
      </c>
      <c r="G52" s="4">
        <f t="shared" si="3"/>
        <v>-2901.3</v>
      </c>
    </row>
    <row r="53" spans="1:7" x14ac:dyDescent="0.25">
      <c r="A53" s="6">
        <v>86</v>
      </c>
      <c r="B53" s="10">
        <f t="shared" si="0"/>
        <v>621</v>
      </c>
      <c r="C53" s="11">
        <f t="shared" si="4"/>
        <v>1819.3359375</v>
      </c>
      <c r="D53" s="10">
        <f t="shared" si="1"/>
        <v>8600</v>
      </c>
      <c r="F53">
        <f t="shared" si="2"/>
        <v>-8600</v>
      </c>
      <c r="G53" s="4">
        <f t="shared" si="3"/>
        <v>-2935.5</v>
      </c>
    </row>
    <row r="54" spans="1:7" x14ac:dyDescent="0.25">
      <c r="A54" s="6">
        <v>87</v>
      </c>
      <c r="B54" s="10">
        <f t="shared" si="0"/>
        <v>616</v>
      </c>
      <c r="C54" s="11">
        <f t="shared" si="4"/>
        <v>1804.6875</v>
      </c>
      <c r="D54" s="10">
        <f t="shared" si="1"/>
        <v>8700</v>
      </c>
      <c r="F54">
        <f t="shared" si="2"/>
        <v>-8700</v>
      </c>
      <c r="G54" s="4">
        <f t="shared" si="3"/>
        <v>-2969.6</v>
      </c>
    </row>
    <row r="55" spans="1:7" x14ac:dyDescent="0.25">
      <c r="A55" s="6">
        <v>88</v>
      </c>
      <c r="B55" s="10">
        <f t="shared" si="0"/>
        <v>610</v>
      </c>
      <c r="C55" s="11">
        <f t="shared" si="4"/>
        <v>1787.109375</v>
      </c>
      <c r="D55" s="10">
        <f t="shared" si="1"/>
        <v>8800</v>
      </c>
      <c r="F55">
        <f t="shared" si="2"/>
        <v>-8800</v>
      </c>
      <c r="G55" s="4">
        <f t="shared" si="3"/>
        <v>-3003.7</v>
      </c>
    </row>
    <row r="56" spans="1:7" x14ac:dyDescent="0.25">
      <c r="A56" s="6">
        <v>89</v>
      </c>
      <c r="B56" s="10">
        <f t="shared" si="0"/>
        <v>605</v>
      </c>
      <c r="C56" s="11">
        <f t="shared" si="4"/>
        <v>1772.4609375</v>
      </c>
      <c r="D56" s="10">
        <f t="shared" si="1"/>
        <v>8900</v>
      </c>
      <c r="F56">
        <f t="shared" si="2"/>
        <v>-8900</v>
      </c>
      <c r="G56" s="4">
        <f t="shared" si="3"/>
        <v>-3037.9</v>
      </c>
    </row>
    <row r="57" spans="1:7" x14ac:dyDescent="0.25">
      <c r="A57" s="6">
        <v>90</v>
      </c>
      <c r="B57" s="10">
        <f t="shared" si="0"/>
        <v>600</v>
      </c>
      <c r="C57" s="11">
        <f t="shared" si="4"/>
        <v>1757.8125</v>
      </c>
      <c r="D57" s="10">
        <f t="shared" si="1"/>
        <v>9000</v>
      </c>
      <c r="E57" s="6"/>
      <c r="F57" s="6">
        <f t="shared" si="2"/>
        <v>-9000</v>
      </c>
      <c r="G57" s="9">
        <f t="shared" si="3"/>
        <v>-3072</v>
      </c>
    </row>
    <row r="58" spans="1:7" x14ac:dyDescent="0.25">
      <c r="A58" s="6">
        <v>91</v>
      </c>
      <c r="B58" s="10">
        <f t="shared" si="0"/>
        <v>594</v>
      </c>
      <c r="C58" s="11">
        <f t="shared" si="4"/>
        <v>1740.234375</v>
      </c>
      <c r="D58" s="10">
        <f t="shared" si="1"/>
        <v>9100</v>
      </c>
      <c r="F58">
        <f t="shared" si="2"/>
        <v>-9100</v>
      </c>
      <c r="G58" s="4">
        <f t="shared" si="3"/>
        <v>-3106.1</v>
      </c>
    </row>
    <row r="59" spans="1:7" x14ac:dyDescent="0.25">
      <c r="A59" s="6">
        <v>92</v>
      </c>
      <c r="B59" s="10">
        <f t="shared" si="0"/>
        <v>589</v>
      </c>
      <c r="C59" s="11">
        <f t="shared" si="4"/>
        <v>1725.5859375</v>
      </c>
      <c r="D59" s="10">
        <f t="shared" si="1"/>
        <v>9200</v>
      </c>
      <c r="F59">
        <f t="shared" si="2"/>
        <v>-9200</v>
      </c>
      <c r="G59" s="4">
        <f t="shared" si="3"/>
        <v>-3140.3</v>
      </c>
    </row>
    <row r="60" spans="1:7" x14ac:dyDescent="0.25">
      <c r="A60" s="6">
        <v>93</v>
      </c>
      <c r="B60" s="10">
        <f t="shared" si="0"/>
        <v>584</v>
      </c>
      <c r="C60" s="11">
        <f t="shared" si="4"/>
        <v>1710.9375</v>
      </c>
      <c r="D60" s="10">
        <f t="shared" si="1"/>
        <v>9300</v>
      </c>
      <c r="F60">
        <f t="shared" si="2"/>
        <v>-9300</v>
      </c>
      <c r="G60" s="4">
        <f t="shared" si="3"/>
        <v>-3174.4</v>
      </c>
    </row>
    <row r="61" spans="1:7" x14ac:dyDescent="0.25">
      <c r="A61" s="6">
        <v>94</v>
      </c>
      <c r="B61" s="10">
        <f t="shared" si="0"/>
        <v>578</v>
      </c>
      <c r="C61" s="11">
        <f t="shared" si="4"/>
        <v>1693.359375</v>
      </c>
      <c r="D61" s="10">
        <f t="shared" si="1"/>
        <v>9400</v>
      </c>
      <c r="F61">
        <f t="shared" si="2"/>
        <v>-9400</v>
      </c>
      <c r="G61" s="4">
        <f t="shared" si="3"/>
        <v>-3208.5</v>
      </c>
    </row>
    <row r="62" spans="1:7" x14ac:dyDescent="0.25">
      <c r="A62" s="6">
        <v>95</v>
      </c>
      <c r="B62" s="10">
        <f t="shared" si="0"/>
        <v>573</v>
      </c>
      <c r="C62" s="11">
        <f t="shared" si="4"/>
        <v>1678.7109375</v>
      </c>
      <c r="D62" s="10">
        <f t="shared" si="1"/>
        <v>9500</v>
      </c>
      <c r="F62">
        <f t="shared" si="2"/>
        <v>-9500</v>
      </c>
      <c r="G62" s="4">
        <f t="shared" si="3"/>
        <v>-3242.7</v>
      </c>
    </row>
    <row r="63" spans="1:7" x14ac:dyDescent="0.25">
      <c r="A63" s="6">
        <v>96</v>
      </c>
      <c r="B63" s="10">
        <f t="shared" si="0"/>
        <v>568</v>
      </c>
      <c r="C63" s="11">
        <f t="shared" si="4"/>
        <v>1664.0625</v>
      </c>
      <c r="D63" s="10">
        <f t="shared" si="1"/>
        <v>9600</v>
      </c>
      <c r="F63">
        <f t="shared" si="2"/>
        <v>-9600</v>
      </c>
      <c r="G63" s="4">
        <f t="shared" si="3"/>
        <v>-3276.8</v>
      </c>
    </row>
    <row r="64" spans="1:7" x14ac:dyDescent="0.25">
      <c r="A64" s="6">
        <v>97</v>
      </c>
      <c r="B64" s="10">
        <f t="shared" si="0"/>
        <v>562</v>
      </c>
      <c r="C64" s="11">
        <f t="shared" si="4"/>
        <v>1646.484375</v>
      </c>
      <c r="D64" s="10">
        <f t="shared" si="1"/>
        <v>9700</v>
      </c>
      <c r="F64">
        <f t="shared" si="2"/>
        <v>-9700</v>
      </c>
      <c r="G64" s="4">
        <f t="shared" si="3"/>
        <v>-3310.9</v>
      </c>
    </row>
    <row r="65" spans="1:7" x14ac:dyDescent="0.25">
      <c r="A65" s="6">
        <v>98</v>
      </c>
      <c r="B65" s="10">
        <f t="shared" si="0"/>
        <v>557</v>
      </c>
      <c r="C65" s="11">
        <f t="shared" si="4"/>
        <v>1631.8359375</v>
      </c>
      <c r="D65" s="10">
        <f t="shared" si="1"/>
        <v>9800</v>
      </c>
      <c r="F65">
        <f t="shared" si="2"/>
        <v>-9800</v>
      </c>
      <c r="G65" s="4">
        <f t="shared" si="3"/>
        <v>-3345.1</v>
      </c>
    </row>
    <row r="66" spans="1:7" x14ac:dyDescent="0.25">
      <c r="A66" s="6">
        <v>99</v>
      </c>
      <c r="B66" s="10">
        <f t="shared" si="0"/>
        <v>552</v>
      </c>
      <c r="C66" s="11">
        <f t="shared" si="4"/>
        <v>1617.1875</v>
      </c>
      <c r="D66" s="10">
        <f t="shared" si="1"/>
        <v>9900</v>
      </c>
      <c r="F66">
        <f t="shared" si="2"/>
        <v>-9900</v>
      </c>
      <c r="G66" s="4">
        <f t="shared" si="3"/>
        <v>-3379.2</v>
      </c>
    </row>
    <row r="67" spans="1:7" x14ac:dyDescent="0.25">
      <c r="A67" s="6">
        <v>100</v>
      </c>
      <c r="B67" s="10">
        <f t="shared" si="0"/>
        <v>546</v>
      </c>
      <c r="C67" s="11">
        <f t="shared" si="4"/>
        <v>1599.609375</v>
      </c>
      <c r="D67" s="10">
        <f t="shared" si="1"/>
        <v>10000</v>
      </c>
      <c r="E67" s="6"/>
      <c r="F67" s="6">
        <f t="shared" si="2"/>
        <v>-10000</v>
      </c>
      <c r="G67" s="9">
        <f t="shared" si="3"/>
        <v>-3413.3</v>
      </c>
    </row>
    <row r="68" spans="1:7" x14ac:dyDescent="0.25">
      <c r="A68" s="6">
        <v>101</v>
      </c>
      <c r="B68" s="10">
        <f t="shared" si="0"/>
        <v>541</v>
      </c>
      <c r="C68" s="11">
        <f t="shared" si="4"/>
        <v>1584.9609375</v>
      </c>
      <c r="D68" s="10">
        <f t="shared" si="1"/>
        <v>10100</v>
      </c>
      <c r="F68">
        <f t="shared" si="2"/>
        <v>-10100</v>
      </c>
      <c r="G68" s="4">
        <f t="shared" si="3"/>
        <v>-3447.5</v>
      </c>
    </row>
    <row r="69" spans="1:7" x14ac:dyDescent="0.25">
      <c r="A69" s="6">
        <v>102</v>
      </c>
      <c r="B69" s="10">
        <f t="shared" si="0"/>
        <v>536</v>
      </c>
      <c r="C69" s="11">
        <f t="shared" si="4"/>
        <v>1570.3125</v>
      </c>
      <c r="D69" s="10">
        <f t="shared" si="1"/>
        <v>10200</v>
      </c>
      <c r="F69">
        <f t="shared" si="2"/>
        <v>-10200</v>
      </c>
      <c r="G69" s="4">
        <f t="shared" si="3"/>
        <v>-3481.6</v>
      </c>
    </row>
    <row r="70" spans="1:7" x14ac:dyDescent="0.25">
      <c r="A70" s="6">
        <v>103</v>
      </c>
      <c r="B70" s="10">
        <f t="shared" si="0"/>
        <v>530</v>
      </c>
      <c r="C70" s="11">
        <f t="shared" si="4"/>
        <v>1552.734375</v>
      </c>
      <c r="D70" s="10">
        <f t="shared" si="1"/>
        <v>10300</v>
      </c>
      <c r="F70">
        <f t="shared" si="2"/>
        <v>-10300</v>
      </c>
      <c r="G70" s="4">
        <f t="shared" si="3"/>
        <v>-3515.7</v>
      </c>
    </row>
    <row r="71" spans="1:7" x14ac:dyDescent="0.25">
      <c r="A71" s="6">
        <v>104</v>
      </c>
      <c r="B71" s="10">
        <f t="shared" ref="B71:B134" si="5">ROUND($E$4-(((A71-$B$2)*($E$4-$E$3))/($B$1-$B$2)),0)</f>
        <v>525</v>
      </c>
      <c r="C71" s="11">
        <f t="shared" si="4"/>
        <v>1538.0859375</v>
      </c>
      <c r="D71" s="10">
        <f t="shared" si="1"/>
        <v>10400</v>
      </c>
      <c r="F71">
        <f t="shared" si="2"/>
        <v>-10400</v>
      </c>
      <c r="G71" s="4">
        <f t="shared" si="3"/>
        <v>-3549.9</v>
      </c>
    </row>
    <row r="72" spans="1:7" x14ac:dyDescent="0.25">
      <c r="A72" s="6">
        <v>105</v>
      </c>
      <c r="B72" s="10">
        <f t="shared" si="5"/>
        <v>520</v>
      </c>
      <c r="C72" s="11">
        <f t="shared" si="4"/>
        <v>1523.4375</v>
      </c>
      <c r="D72" s="10">
        <f t="shared" ref="D72:D87" si="6">A72*100</f>
        <v>10500</v>
      </c>
      <c r="F72">
        <f t="shared" ref="F72:F82" si="7">E72-D72</f>
        <v>-10500</v>
      </c>
      <c r="G72" s="4">
        <f t="shared" ref="G72:G82" si="8">ROUND(F72/$I$2,1)</f>
        <v>-3584</v>
      </c>
    </row>
    <row r="73" spans="1:7" x14ac:dyDescent="0.25">
      <c r="A73" s="6">
        <v>106</v>
      </c>
      <c r="B73" s="10">
        <f t="shared" si="5"/>
        <v>514</v>
      </c>
      <c r="C73" s="11">
        <f t="shared" ref="C73:C87" si="9">B73*$E$1/$E$2</f>
        <v>1505.859375</v>
      </c>
      <c r="D73" s="10">
        <f t="shared" si="6"/>
        <v>10600</v>
      </c>
      <c r="F73">
        <f t="shared" si="7"/>
        <v>-10600</v>
      </c>
      <c r="G73" s="4">
        <f t="shared" si="8"/>
        <v>-3618.1</v>
      </c>
    </row>
    <row r="74" spans="1:7" x14ac:dyDescent="0.25">
      <c r="A74" s="6">
        <v>107</v>
      </c>
      <c r="B74" s="10">
        <f t="shared" si="5"/>
        <v>509</v>
      </c>
      <c r="C74" s="11">
        <f t="shared" si="9"/>
        <v>1491.2109375</v>
      </c>
      <c r="D74" s="10">
        <f t="shared" si="6"/>
        <v>10700</v>
      </c>
      <c r="F74">
        <f t="shared" si="7"/>
        <v>-10700</v>
      </c>
      <c r="G74" s="4">
        <f t="shared" si="8"/>
        <v>-3652.3</v>
      </c>
    </row>
    <row r="75" spans="1:7" x14ac:dyDescent="0.25">
      <c r="A75" s="6">
        <v>108</v>
      </c>
      <c r="B75" s="10">
        <f t="shared" si="5"/>
        <v>504</v>
      </c>
      <c r="C75" s="11">
        <f t="shared" si="9"/>
        <v>1476.5625</v>
      </c>
      <c r="D75" s="10">
        <f t="shared" si="6"/>
        <v>10800</v>
      </c>
      <c r="F75">
        <f t="shared" si="7"/>
        <v>-10800</v>
      </c>
      <c r="G75" s="4">
        <f t="shared" si="8"/>
        <v>-3686.4</v>
      </c>
    </row>
    <row r="76" spans="1:7" x14ac:dyDescent="0.25">
      <c r="A76" s="6">
        <v>109</v>
      </c>
      <c r="B76" s="10">
        <f t="shared" si="5"/>
        <v>498</v>
      </c>
      <c r="C76" s="11">
        <f t="shared" si="9"/>
        <v>1458.984375</v>
      </c>
      <c r="D76" s="10">
        <f t="shared" si="6"/>
        <v>10900</v>
      </c>
      <c r="F76">
        <f t="shared" si="7"/>
        <v>-10900</v>
      </c>
      <c r="G76" s="4">
        <f t="shared" si="8"/>
        <v>-3720.5</v>
      </c>
    </row>
    <row r="77" spans="1:7" x14ac:dyDescent="0.25">
      <c r="A77" s="6">
        <v>110</v>
      </c>
      <c r="B77" s="10">
        <f t="shared" si="5"/>
        <v>493</v>
      </c>
      <c r="C77" s="11">
        <f t="shared" si="9"/>
        <v>1444.3359375</v>
      </c>
      <c r="D77" s="10">
        <f t="shared" si="6"/>
        <v>11000</v>
      </c>
      <c r="E77" s="6"/>
      <c r="F77" s="6">
        <f t="shared" si="7"/>
        <v>-11000</v>
      </c>
      <c r="G77" s="9">
        <f t="shared" si="8"/>
        <v>-3754.7</v>
      </c>
    </row>
    <row r="78" spans="1:7" x14ac:dyDescent="0.25">
      <c r="A78" s="6">
        <v>111</v>
      </c>
      <c r="B78" s="10">
        <f t="shared" si="5"/>
        <v>488</v>
      </c>
      <c r="C78" s="11">
        <f t="shared" si="9"/>
        <v>1429.6875</v>
      </c>
      <c r="D78" s="10">
        <f t="shared" si="6"/>
        <v>11100</v>
      </c>
      <c r="F78">
        <f t="shared" si="7"/>
        <v>-11100</v>
      </c>
      <c r="G78" s="4">
        <f t="shared" si="8"/>
        <v>-3788.8</v>
      </c>
    </row>
    <row r="79" spans="1:7" x14ac:dyDescent="0.25">
      <c r="A79" s="6">
        <v>112</v>
      </c>
      <c r="B79" s="10">
        <f t="shared" si="5"/>
        <v>482</v>
      </c>
      <c r="C79" s="11">
        <f t="shared" si="9"/>
        <v>1412.109375</v>
      </c>
      <c r="D79" s="10">
        <f t="shared" si="6"/>
        <v>11200</v>
      </c>
      <c r="E79" s="6"/>
      <c r="F79" s="6">
        <f t="shared" si="7"/>
        <v>-11200</v>
      </c>
      <c r="G79" s="9">
        <f t="shared" si="8"/>
        <v>-3822.9</v>
      </c>
    </row>
    <row r="80" spans="1:7" x14ac:dyDescent="0.25">
      <c r="A80" s="6">
        <v>113</v>
      </c>
      <c r="B80" s="10">
        <f t="shared" si="5"/>
        <v>477</v>
      </c>
      <c r="C80" s="11">
        <f t="shared" si="9"/>
        <v>1397.4609375</v>
      </c>
      <c r="D80" s="10">
        <f t="shared" si="6"/>
        <v>11300</v>
      </c>
      <c r="F80">
        <f t="shared" si="7"/>
        <v>-11300</v>
      </c>
      <c r="G80" s="4">
        <f t="shared" si="8"/>
        <v>-3857.1</v>
      </c>
    </row>
    <row r="81" spans="1:7" x14ac:dyDescent="0.25">
      <c r="A81" s="6">
        <v>114</v>
      </c>
      <c r="B81" s="10">
        <f t="shared" si="5"/>
        <v>471</v>
      </c>
      <c r="C81" s="11">
        <f t="shared" si="9"/>
        <v>1379.8828125</v>
      </c>
      <c r="D81" s="10">
        <f t="shared" si="6"/>
        <v>11400</v>
      </c>
      <c r="E81" s="6"/>
      <c r="F81" s="6">
        <f t="shared" si="7"/>
        <v>-11400</v>
      </c>
      <c r="G81" s="9">
        <f t="shared" si="8"/>
        <v>-3891.2</v>
      </c>
    </row>
    <row r="82" spans="1:7" x14ac:dyDescent="0.25">
      <c r="A82" s="6">
        <v>115</v>
      </c>
      <c r="B82" s="10">
        <f t="shared" si="5"/>
        <v>466</v>
      </c>
      <c r="C82" s="11">
        <f t="shared" si="9"/>
        <v>1365.234375</v>
      </c>
      <c r="D82" s="10">
        <f t="shared" si="6"/>
        <v>11500</v>
      </c>
      <c r="F82">
        <f t="shared" si="7"/>
        <v>-11500</v>
      </c>
      <c r="G82" s="4">
        <f t="shared" si="8"/>
        <v>-3925.3</v>
      </c>
    </row>
    <row r="83" spans="1:7" x14ac:dyDescent="0.25">
      <c r="A83" s="6">
        <v>116</v>
      </c>
      <c r="B83" s="10">
        <f t="shared" si="5"/>
        <v>461</v>
      </c>
      <c r="C83" s="11">
        <f t="shared" si="9"/>
        <v>1350.5859375</v>
      </c>
      <c r="D83" s="10">
        <f t="shared" si="6"/>
        <v>11600</v>
      </c>
    </row>
    <row r="84" spans="1:7" x14ac:dyDescent="0.25">
      <c r="A84" s="6">
        <v>117</v>
      </c>
      <c r="B84" s="10">
        <f t="shared" si="5"/>
        <v>455</v>
      </c>
      <c r="C84" s="11">
        <f t="shared" si="9"/>
        <v>1333.0078125</v>
      </c>
      <c r="D84" s="10">
        <f t="shared" si="6"/>
        <v>11700</v>
      </c>
    </row>
    <row r="85" spans="1:7" x14ac:dyDescent="0.25">
      <c r="A85" s="6">
        <v>118</v>
      </c>
      <c r="B85" s="10">
        <f t="shared" si="5"/>
        <v>450</v>
      </c>
      <c r="C85" s="11">
        <f t="shared" si="9"/>
        <v>1318.359375</v>
      </c>
      <c r="D85" s="10">
        <f t="shared" si="6"/>
        <v>11800</v>
      </c>
    </row>
    <row r="86" spans="1:7" x14ac:dyDescent="0.25">
      <c r="A86" s="6">
        <v>119</v>
      </c>
      <c r="B86" s="10">
        <f t="shared" si="5"/>
        <v>445</v>
      </c>
      <c r="C86" s="11">
        <f t="shared" si="9"/>
        <v>1303.7109375</v>
      </c>
      <c r="D86" s="10">
        <f t="shared" si="6"/>
        <v>11900</v>
      </c>
    </row>
    <row r="87" spans="1:7" x14ac:dyDescent="0.25">
      <c r="A87" s="6">
        <v>120</v>
      </c>
      <c r="B87" s="10">
        <f t="shared" si="5"/>
        <v>439</v>
      </c>
      <c r="C87" s="11">
        <f t="shared" si="9"/>
        <v>1286.1328125</v>
      </c>
      <c r="D87" s="10">
        <f t="shared" si="6"/>
        <v>12000</v>
      </c>
    </row>
    <row r="88" spans="1:7" x14ac:dyDescent="0.25">
      <c r="A88" s="6">
        <v>121</v>
      </c>
      <c r="B88" s="10">
        <f t="shared" ref="B88:B106" si="10">ROUND($E$4-(((A88-$B$2)*($E$4-$E$3))/($B$1-$B$2)),0)</f>
        <v>434</v>
      </c>
      <c r="C88" s="11">
        <f t="shared" ref="C88:C106" si="11">B88*$E$1/$E$2</f>
        <v>1271.484375</v>
      </c>
      <c r="D88" s="10">
        <f t="shared" ref="D88:D106" si="12">A88*100</f>
        <v>12100</v>
      </c>
    </row>
    <row r="89" spans="1:7" x14ac:dyDescent="0.25">
      <c r="A89" s="6">
        <v>122</v>
      </c>
      <c r="B89" s="10">
        <f t="shared" si="10"/>
        <v>429</v>
      </c>
      <c r="C89" s="11">
        <f t="shared" si="11"/>
        <v>1256.8359375</v>
      </c>
      <c r="D89" s="10">
        <f t="shared" si="12"/>
        <v>12200</v>
      </c>
    </row>
    <row r="90" spans="1:7" x14ac:dyDescent="0.25">
      <c r="A90" s="6">
        <v>123</v>
      </c>
      <c r="B90" s="10">
        <f t="shared" si="10"/>
        <v>423</v>
      </c>
      <c r="C90" s="11">
        <f t="shared" si="11"/>
        <v>1239.2578125</v>
      </c>
      <c r="D90" s="10">
        <f t="shared" si="12"/>
        <v>12300</v>
      </c>
    </row>
    <row r="91" spans="1:7" x14ac:dyDescent="0.25">
      <c r="A91" s="6">
        <v>124</v>
      </c>
      <c r="B91" s="10">
        <f t="shared" si="10"/>
        <v>418</v>
      </c>
      <c r="C91" s="11">
        <f t="shared" si="11"/>
        <v>1224.609375</v>
      </c>
      <c r="D91" s="10">
        <f t="shared" si="12"/>
        <v>12400</v>
      </c>
    </row>
    <row r="92" spans="1:7" x14ac:dyDescent="0.25">
      <c r="A92" s="6">
        <v>125</v>
      </c>
      <c r="B92" s="10">
        <f t="shared" si="10"/>
        <v>413</v>
      </c>
      <c r="C92" s="11">
        <f t="shared" si="11"/>
        <v>1209.9609375</v>
      </c>
      <c r="D92" s="10">
        <f t="shared" si="12"/>
        <v>12500</v>
      </c>
    </row>
    <row r="93" spans="1:7" x14ac:dyDescent="0.25">
      <c r="A93" s="6">
        <v>126</v>
      </c>
      <c r="B93" s="10">
        <f t="shared" si="10"/>
        <v>407</v>
      </c>
      <c r="C93" s="11">
        <f t="shared" si="11"/>
        <v>1192.3828125</v>
      </c>
      <c r="D93" s="10">
        <f t="shared" si="12"/>
        <v>12600</v>
      </c>
    </row>
    <row r="94" spans="1:7" x14ac:dyDescent="0.25">
      <c r="A94" s="6">
        <v>127</v>
      </c>
      <c r="B94" s="10">
        <f t="shared" si="10"/>
        <v>402</v>
      </c>
      <c r="C94" s="11">
        <f t="shared" si="11"/>
        <v>1177.734375</v>
      </c>
      <c r="D94" s="10">
        <f t="shared" si="12"/>
        <v>12700</v>
      </c>
    </row>
    <row r="95" spans="1:7" x14ac:dyDescent="0.25">
      <c r="A95" s="6">
        <v>128</v>
      </c>
      <c r="B95" s="10">
        <f t="shared" si="10"/>
        <v>397</v>
      </c>
      <c r="C95" s="11">
        <f t="shared" si="11"/>
        <v>1163.0859375</v>
      </c>
      <c r="D95" s="10">
        <f t="shared" si="12"/>
        <v>12800</v>
      </c>
    </row>
    <row r="96" spans="1:7" x14ac:dyDescent="0.25">
      <c r="A96" s="6">
        <v>129</v>
      </c>
      <c r="B96" s="10">
        <f t="shared" si="10"/>
        <v>391</v>
      </c>
      <c r="C96" s="11">
        <f t="shared" si="11"/>
        <v>1145.5078125</v>
      </c>
      <c r="D96" s="10">
        <f t="shared" si="12"/>
        <v>12900</v>
      </c>
    </row>
    <row r="97" spans="1:4" x14ac:dyDescent="0.25">
      <c r="A97" s="6">
        <v>130</v>
      </c>
      <c r="B97" s="10">
        <f t="shared" si="10"/>
        <v>386</v>
      </c>
      <c r="C97" s="11">
        <f t="shared" si="11"/>
        <v>1130.859375</v>
      </c>
      <c r="D97" s="10">
        <f t="shared" si="12"/>
        <v>13000</v>
      </c>
    </row>
    <row r="98" spans="1:4" x14ac:dyDescent="0.25">
      <c r="A98" s="6">
        <v>131</v>
      </c>
      <c r="B98" s="10">
        <f t="shared" si="10"/>
        <v>381</v>
      </c>
      <c r="C98" s="11">
        <f t="shared" si="11"/>
        <v>1116.2109375</v>
      </c>
      <c r="D98" s="10">
        <f t="shared" si="12"/>
        <v>13100</v>
      </c>
    </row>
    <row r="99" spans="1:4" x14ac:dyDescent="0.25">
      <c r="A99" s="6">
        <v>132</v>
      </c>
      <c r="B99" s="10">
        <f t="shared" si="10"/>
        <v>375</v>
      </c>
      <c r="C99" s="11">
        <f t="shared" si="11"/>
        <v>1098.6328125</v>
      </c>
      <c r="D99" s="10">
        <f t="shared" si="12"/>
        <v>13200</v>
      </c>
    </row>
    <row r="100" spans="1:4" x14ac:dyDescent="0.25">
      <c r="A100" s="6">
        <v>133</v>
      </c>
      <c r="B100" s="10">
        <f t="shared" si="10"/>
        <v>370</v>
      </c>
      <c r="C100" s="11">
        <f t="shared" si="11"/>
        <v>1083.984375</v>
      </c>
      <c r="D100" s="10">
        <f t="shared" si="12"/>
        <v>13300</v>
      </c>
    </row>
    <row r="101" spans="1:4" x14ac:dyDescent="0.25">
      <c r="A101" s="6">
        <v>134</v>
      </c>
      <c r="B101" s="10">
        <f t="shared" si="10"/>
        <v>365</v>
      </c>
      <c r="C101" s="11">
        <f t="shared" si="11"/>
        <v>1069.3359375</v>
      </c>
      <c r="D101" s="10">
        <f t="shared" si="12"/>
        <v>13400</v>
      </c>
    </row>
    <row r="102" spans="1:4" x14ac:dyDescent="0.25">
      <c r="A102" s="6">
        <v>135</v>
      </c>
      <c r="B102" s="10">
        <f t="shared" si="10"/>
        <v>359</v>
      </c>
      <c r="C102" s="11">
        <f t="shared" si="11"/>
        <v>1051.7578125</v>
      </c>
      <c r="D102" s="10">
        <f t="shared" si="12"/>
        <v>13500</v>
      </c>
    </row>
    <row r="103" spans="1:4" x14ac:dyDescent="0.25">
      <c r="A103" s="6">
        <v>136</v>
      </c>
      <c r="B103" s="10">
        <f t="shared" si="10"/>
        <v>354</v>
      </c>
      <c r="C103" s="11">
        <f t="shared" si="11"/>
        <v>1037.109375</v>
      </c>
      <c r="D103" s="10">
        <f t="shared" si="12"/>
        <v>13600</v>
      </c>
    </row>
    <row r="104" spans="1:4" x14ac:dyDescent="0.25">
      <c r="A104" s="6">
        <v>137</v>
      </c>
      <c r="B104" s="10">
        <f t="shared" si="10"/>
        <v>349</v>
      </c>
      <c r="C104" s="11">
        <f t="shared" si="11"/>
        <v>1022.4609375</v>
      </c>
      <c r="D104" s="10">
        <f t="shared" si="12"/>
        <v>13700</v>
      </c>
    </row>
    <row r="105" spans="1:4" x14ac:dyDescent="0.25">
      <c r="A105" s="6">
        <v>138</v>
      </c>
      <c r="B105" s="10">
        <f t="shared" si="10"/>
        <v>343</v>
      </c>
      <c r="C105" s="11">
        <f t="shared" si="11"/>
        <v>1004.8828125</v>
      </c>
      <c r="D105" s="10">
        <f t="shared" si="12"/>
        <v>13800</v>
      </c>
    </row>
    <row r="106" spans="1:4" x14ac:dyDescent="0.25">
      <c r="A106" s="6">
        <v>139</v>
      </c>
      <c r="B106" s="10">
        <f t="shared" si="10"/>
        <v>338</v>
      </c>
      <c r="C106" s="11">
        <f t="shared" si="11"/>
        <v>990.234375</v>
      </c>
      <c r="D106" s="10">
        <f t="shared" si="12"/>
        <v>13900</v>
      </c>
    </row>
    <row r="107" spans="1:4" x14ac:dyDescent="0.25">
      <c r="A107" s="6">
        <v>140</v>
      </c>
      <c r="B107" s="10">
        <f t="shared" ref="B107:B152" si="13">ROUND($E$4-(((A107-$B$2)*($E$4-$E$3))/($B$1-$B$2)),0)</f>
        <v>333</v>
      </c>
      <c r="C107" s="11">
        <f t="shared" ref="C107:C152" si="14">B107*$E$1/$E$2</f>
        <v>975.5859375</v>
      </c>
      <c r="D107" s="10">
        <f t="shared" ref="D107:D152" si="15">A107*100</f>
        <v>14000</v>
      </c>
    </row>
    <row r="108" spans="1:4" x14ac:dyDescent="0.25">
      <c r="A108" s="6">
        <v>141</v>
      </c>
      <c r="B108" s="10">
        <f t="shared" si="13"/>
        <v>327</v>
      </c>
      <c r="C108" s="11">
        <f t="shared" si="14"/>
        <v>958.0078125</v>
      </c>
      <c r="D108" s="10">
        <f t="shared" si="15"/>
        <v>14100</v>
      </c>
    </row>
    <row r="109" spans="1:4" x14ac:dyDescent="0.25">
      <c r="A109" s="6">
        <v>142</v>
      </c>
      <c r="B109" s="10">
        <f t="shared" si="13"/>
        <v>322</v>
      </c>
      <c r="C109" s="11">
        <f t="shared" si="14"/>
        <v>943.359375</v>
      </c>
      <c r="D109" s="10">
        <f t="shared" si="15"/>
        <v>14200</v>
      </c>
    </row>
    <row r="110" spans="1:4" x14ac:dyDescent="0.25">
      <c r="A110" s="6">
        <v>143</v>
      </c>
      <c r="B110" s="10">
        <f t="shared" si="13"/>
        <v>316</v>
      </c>
      <c r="C110" s="11">
        <f t="shared" si="14"/>
        <v>925.78125</v>
      </c>
      <c r="D110" s="10">
        <f t="shared" si="15"/>
        <v>14300</v>
      </c>
    </row>
    <row r="111" spans="1:4" x14ac:dyDescent="0.25">
      <c r="A111" s="6">
        <v>144</v>
      </c>
      <c r="B111" s="10">
        <f t="shared" si="13"/>
        <v>311</v>
      </c>
      <c r="C111" s="11">
        <f t="shared" si="14"/>
        <v>911.1328125</v>
      </c>
      <c r="D111" s="10">
        <f t="shared" si="15"/>
        <v>14400</v>
      </c>
    </row>
    <row r="112" spans="1:4" x14ac:dyDescent="0.25">
      <c r="A112" s="6">
        <v>145</v>
      </c>
      <c r="B112" s="10">
        <f t="shared" si="13"/>
        <v>306</v>
      </c>
      <c r="C112" s="11">
        <f t="shared" si="14"/>
        <v>896.484375</v>
      </c>
      <c r="D112" s="10">
        <f t="shared" si="15"/>
        <v>14500</v>
      </c>
    </row>
    <row r="113" spans="1:4" x14ac:dyDescent="0.25">
      <c r="A113" s="6">
        <v>146</v>
      </c>
      <c r="B113" s="10">
        <f t="shared" si="13"/>
        <v>300</v>
      </c>
      <c r="C113" s="11">
        <f t="shared" si="14"/>
        <v>878.90625</v>
      </c>
      <c r="D113" s="10">
        <f t="shared" si="15"/>
        <v>14600</v>
      </c>
    </row>
    <row r="114" spans="1:4" x14ac:dyDescent="0.25">
      <c r="A114" s="6">
        <v>147</v>
      </c>
      <c r="B114" s="10">
        <f t="shared" si="13"/>
        <v>295</v>
      </c>
      <c r="C114" s="11">
        <f t="shared" si="14"/>
        <v>864.2578125</v>
      </c>
      <c r="D114" s="10">
        <f t="shared" si="15"/>
        <v>14700</v>
      </c>
    </row>
    <row r="115" spans="1:4" x14ac:dyDescent="0.25">
      <c r="A115" s="6">
        <v>148</v>
      </c>
      <c r="B115" s="10">
        <f t="shared" si="13"/>
        <v>290</v>
      </c>
      <c r="C115" s="11">
        <f t="shared" si="14"/>
        <v>849.609375</v>
      </c>
      <c r="D115" s="10">
        <f t="shared" si="15"/>
        <v>14800</v>
      </c>
    </row>
    <row r="116" spans="1:4" x14ac:dyDescent="0.25">
      <c r="A116" s="6">
        <v>149</v>
      </c>
      <c r="B116" s="10">
        <f t="shared" si="13"/>
        <v>284</v>
      </c>
      <c r="C116" s="11">
        <f t="shared" si="14"/>
        <v>832.03125</v>
      </c>
      <c r="D116" s="10">
        <f t="shared" si="15"/>
        <v>14900</v>
      </c>
    </row>
    <row r="117" spans="1:4" x14ac:dyDescent="0.25">
      <c r="A117" s="6">
        <v>150</v>
      </c>
      <c r="B117" s="10">
        <f t="shared" si="13"/>
        <v>279</v>
      </c>
      <c r="C117" s="11">
        <f t="shared" si="14"/>
        <v>817.3828125</v>
      </c>
      <c r="D117" s="10">
        <f t="shared" si="15"/>
        <v>15000</v>
      </c>
    </row>
    <row r="118" spans="1:4" x14ac:dyDescent="0.25">
      <c r="A118" s="6">
        <v>151</v>
      </c>
      <c r="B118" s="10">
        <f t="shared" si="13"/>
        <v>274</v>
      </c>
      <c r="C118" s="11">
        <f t="shared" si="14"/>
        <v>802.734375</v>
      </c>
      <c r="D118" s="10">
        <f t="shared" si="15"/>
        <v>15100</v>
      </c>
    </row>
    <row r="119" spans="1:4" x14ac:dyDescent="0.25">
      <c r="A119" s="6">
        <v>152</v>
      </c>
      <c r="B119" s="10">
        <f t="shared" si="13"/>
        <v>268</v>
      </c>
      <c r="C119" s="11">
        <f t="shared" si="14"/>
        <v>785.15625</v>
      </c>
      <c r="D119" s="10">
        <f t="shared" si="15"/>
        <v>15200</v>
      </c>
    </row>
    <row r="120" spans="1:4" x14ac:dyDescent="0.25">
      <c r="A120" s="6">
        <v>153</v>
      </c>
      <c r="B120" s="10">
        <f t="shared" si="13"/>
        <v>263</v>
      </c>
      <c r="C120" s="11">
        <f t="shared" si="14"/>
        <v>770.5078125</v>
      </c>
      <c r="D120" s="10">
        <f t="shared" si="15"/>
        <v>15300</v>
      </c>
    </row>
    <row r="121" spans="1:4" x14ac:dyDescent="0.25">
      <c r="A121" s="6">
        <v>154</v>
      </c>
      <c r="B121" s="10">
        <f t="shared" si="13"/>
        <v>258</v>
      </c>
      <c r="C121" s="11">
        <f t="shared" si="14"/>
        <v>755.859375</v>
      </c>
      <c r="D121" s="10">
        <f t="shared" si="15"/>
        <v>15400</v>
      </c>
    </row>
    <row r="122" spans="1:4" x14ac:dyDescent="0.25">
      <c r="A122" s="6">
        <v>155</v>
      </c>
      <c r="B122" s="10">
        <f t="shared" si="13"/>
        <v>252</v>
      </c>
      <c r="C122" s="11">
        <f t="shared" si="14"/>
        <v>738.28125</v>
      </c>
      <c r="D122" s="10">
        <f t="shared" si="15"/>
        <v>15500</v>
      </c>
    </row>
    <row r="123" spans="1:4" x14ac:dyDescent="0.25">
      <c r="A123" s="6">
        <v>156</v>
      </c>
      <c r="B123" s="10">
        <f t="shared" si="13"/>
        <v>247</v>
      </c>
      <c r="C123" s="11">
        <f t="shared" si="14"/>
        <v>723.6328125</v>
      </c>
      <c r="D123" s="10">
        <f t="shared" si="15"/>
        <v>15600</v>
      </c>
    </row>
    <row r="124" spans="1:4" x14ac:dyDescent="0.25">
      <c r="A124" s="6">
        <v>157</v>
      </c>
      <c r="B124" s="10">
        <f t="shared" si="13"/>
        <v>242</v>
      </c>
      <c r="C124" s="11">
        <f t="shared" si="14"/>
        <v>708.984375</v>
      </c>
      <c r="D124" s="10">
        <f t="shared" si="15"/>
        <v>15700</v>
      </c>
    </row>
    <row r="125" spans="1:4" x14ac:dyDescent="0.25">
      <c r="A125" s="6">
        <v>158</v>
      </c>
      <c r="B125" s="10">
        <f t="shared" si="13"/>
        <v>236</v>
      </c>
      <c r="C125" s="11">
        <f t="shared" si="14"/>
        <v>691.40625</v>
      </c>
      <c r="D125" s="10">
        <f t="shared" si="15"/>
        <v>15800</v>
      </c>
    </row>
    <row r="126" spans="1:4" x14ac:dyDescent="0.25">
      <c r="A126" s="6">
        <v>159</v>
      </c>
      <c r="B126" s="10">
        <f t="shared" si="13"/>
        <v>231</v>
      </c>
      <c r="C126" s="11">
        <f t="shared" si="14"/>
        <v>676.7578125</v>
      </c>
      <c r="D126" s="10">
        <f t="shared" si="15"/>
        <v>15900</v>
      </c>
    </row>
    <row r="127" spans="1:4" x14ac:dyDescent="0.25">
      <c r="A127" s="6">
        <v>160</v>
      </c>
      <c r="B127" s="10">
        <f t="shared" si="13"/>
        <v>226</v>
      </c>
      <c r="C127" s="11">
        <f t="shared" si="14"/>
        <v>662.109375</v>
      </c>
      <c r="D127" s="10">
        <f t="shared" si="15"/>
        <v>16000</v>
      </c>
    </row>
    <row r="128" spans="1:4" x14ac:dyDescent="0.25">
      <c r="A128" s="6">
        <v>161</v>
      </c>
      <c r="B128" s="10">
        <f t="shared" si="13"/>
        <v>220</v>
      </c>
      <c r="C128" s="11">
        <f t="shared" si="14"/>
        <v>644.53125</v>
      </c>
      <c r="D128" s="10">
        <f t="shared" si="15"/>
        <v>16100</v>
      </c>
    </row>
    <row r="129" spans="1:4" x14ac:dyDescent="0.25">
      <c r="A129" s="6">
        <v>162</v>
      </c>
      <c r="B129" s="10">
        <f t="shared" si="13"/>
        <v>215</v>
      </c>
      <c r="C129" s="11">
        <f t="shared" si="14"/>
        <v>629.8828125</v>
      </c>
      <c r="D129" s="10">
        <f t="shared" si="15"/>
        <v>16200</v>
      </c>
    </row>
    <row r="130" spans="1:4" x14ac:dyDescent="0.25">
      <c r="A130" s="6">
        <v>163</v>
      </c>
      <c r="B130" s="10">
        <f t="shared" si="13"/>
        <v>210</v>
      </c>
      <c r="C130" s="11">
        <f t="shared" si="14"/>
        <v>615.234375</v>
      </c>
      <c r="D130" s="10">
        <f t="shared" si="15"/>
        <v>16300</v>
      </c>
    </row>
    <row r="131" spans="1:4" x14ac:dyDescent="0.25">
      <c r="A131" s="6">
        <v>164</v>
      </c>
      <c r="B131" s="10">
        <f t="shared" si="13"/>
        <v>204</v>
      </c>
      <c r="C131" s="11">
        <f t="shared" si="14"/>
        <v>597.65625</v>
      </c>
      <c r="D131" s="10">
        <f t="shared" si="15"/>
        <v>16400</v>
      </c>
    </row>
    <row r="132" spans="1:4" x14ac:dyDescent="0.25">
      <c r="A132" s="6">
        <v>165</v>
      </c>
      <c r="B132" s="10">
        <f t="shared" si="13"/>
        <v>199</v>
      </c>
      <c r="C132" s="11">
        <f t="shared" si="14"/>
        <v>583.0078125</v>
      </c>
      <c r="D132" s="10">
        <f t="shared" si="15"/>
        <v>16500</v>
      </c>
    </row>
    <row r="133" spans="1:4" x14ac:dyDescent="0.25">
      <c r="A133" s="6">
        <v>166</v>
      </c>
      <c r="B133" s="10">
        <f t="shared" si="13"/>
        <v>194</v>
      </c>
      <c r="C133" s="11">
        <f t="shared" si="14"/>
        <v>568.359375</v>
      </c>
      <c r="D133" s="10">
        <f t="shared" si="15"/>
        <v>16600</v>
      </c>
    </row>
    <row r="134" spans="1:4" x14ac:dyDescent="0.25">
      <c r="A134" s="6">
        <v>167</v>
      </c>
      <c r="B134" s="10">
        <f t="shared" si="13"/>
        <v>188</v>
      </c>
      <c r="C134" s="11">
        <f t="shared" si="14"/>
        <v>550.78125</v>
      </c>
      <c r="D134" s="10">
        <f t="shared" si="15"/>
        <v>16700</v>
      </c>
    </row>
    <row r="135" spans="1:4" x14ac:dyDescent="0.25">
      <c r="A135" s="6">
        <v>168</v>
      </c>
      <c r="B135" s="10">
        <f t="shared" si="13"/>
        <v>183</v>
      </c>
      <c r="C135" s="11">
        <f t="shared" si="14"/>
        <v>536.1328125</v>
      </c>
      <c r="D135" s="10">
        <f t="shared" si="15"/>
        <v>16800</v>
      </c>
    </row>
    <row r="136" spans="1:4" x14ac:dyDescent="0.25">
      <c r="A136" s="6">
        <v>169</v>
      </c>
      <c r="B136" s="10">
        <f t="shared" si="13"/>
        <v>178</v>
      </c>
      <c r="C136" s="11">
        <f t="shared" si="14"/>
        <v>521.484375</v>
      </c>
      <c r="D136" s="10">
        <f t="shared" si="15"/>
        <v>16900</v>
      </c>
    </row>
    <row r="137" spans="1:4" x14ac:dyDescent="0.25">
      <c r="A137" s="6">
        <v>170</v>
      </c>
      <c r="B137" s="10">
        <f t="shared" si="13"/>
        <v>172</v>
      </c>
      <c r="C137" s="11">
        <f t="shared" si="14"/>
        <v>503.90625</v>
      </c>
      <c r="D137" s="10">
        <f t="shared" si="15"/>
        <v>17000</v>
      </c>
    </row>
    <row r="138" spans="1:4" x14ac:dyDescent="0.25">
      <c r="A138" s="6">
        <v>171</v>
      </c>
      <c r="B138" s="10">
        <f t="shared" si="13"/>
        <v>167</v>
      </c>
      <c r="C138" s="11">
        <f t="shared" si="14"/>
        <v>489.2578125</v>
      </c>
      <c r="D138" s="10">
        <f t="shared" si="15"/>
        <v>17100</v>
      </c>
    </row>
    <row r="139" spans="1:4" x14ac:dyDescent="0.25">
      <c r="A139" s="6">
        <v>172</v>
      </c>
      <c r="B139" s="10">
        <f t="shared" si="13"/>
        <v>161</v>
      </c>
      <c r="C139" s="11">
        <f t="shared" si="14"/>
        <v>471.6796875</v>
      </c>
      <c r="D139" s="10">
        <f t="shared" si="15"/>
        <v>17200</v>
      </c>
    </row>
    <row r="140" spans="1:4" x14ac:dyDescent="0.25">
      <c r="A140" s="6">
        <v>173</v>
      </c>
      <c r="B140" s="10">
        <f t="shared" si="13"/>
        <v>156</v>
      </c>
      <c r="C140" s="11">
        <f t="shared" si="14"/>
        <v>457.03125</v>
      </c>
      <c r="D140" s="10">
        <f t="shared" si="15"/>
        <v>17300</v>
      </c>
    </row>
    <row r="141" spans="1:4" x14ac:dyDescent="0.25">
      <c r="A141" s="6">
        <v>174</v>
      </c>
      <c r="B141" s="10">
        <f t="shared" si="13"/>
        <v>151</v>
      </c>
      <c r="C141" s="11">
        <f t="shared" si="14"/>
        <v>442.3828125</v>
      </c>
      <c r="D141" s="10">
        <f t="shared" si="15"/>
        <v>17400</v>
      </c>
    </row>
    <row r="142" spans="1:4" x14ac:dyDescent="0.25">
      <c r="A142" s="6">
        <v>175</v>
      </c>
      <c r="B142" s="10">
        <f t="shared" si="13"/>
        <v>145</v>
      </c>
      <c r="C142" s="11">
        <f t="shared" si="14"/>
        <v>424.8046875</v>
      </c>
      <c r="D142" s="10">
        <f t="shared" si="15"/>
        <v>17500</v>
      </c>
    </row>
    <row r="143" spans="1:4" x14ac:dyDescent="0.25">
      <c r="A143" s="6">
        <v>176</v>
      </c>
      <c r="B143" s="10">
        <f t="shared" si="13"/>
        <v>140</v>
      </c>
      <c r="C143" s="11">
        <f t="shared" si="14"/>
        <v>410.15625</v>
      </c>
      <c r="D143" s="10">
        <f t="shared" si="15"/>
        <v>17600</v>
      </c>
    </row>
    <row r="144" spans="1:4" x14ac:dyDescent="0.25">
      <c r="A144" s="6">
        <v>177</v>
      </c>
      <c r="B144" s="10">
        <f t="shared" si="13"/>
        <v>135</v>
      </c>
      <c r="C144" s="11">
        <f t="shared" si="14"/>
        <v>395.5078125</v>
      </c>
      <c r="D144" s="10">
        <f t="shared" si="15"/>
        <v>17700</v>
      </c>
    </row>
    <row r="145" spans="1:4" x14ac:dyDescent="0.25">
      <c r="A145" s="6">
        <v>178</v>
      </c>
      <c r="B145" s="10">
        <f t="shared" si="13"/>
        <v>129</v>
      </c>
      <c r="C145" s="11">
        <f t="shared" si="14"/>
        <v>377.9296875</v>
      </c>
      <c r="D145" s="10">
        <f t="shared" si="15"/>
        <v>17800</v>
      </c>
    </row>
    <row r="146" spans="1:4" x14ac:dyDescent="0.25">
      <c r="A146" s="6">
        <v>179</v>
      </c>
      <c r="B146" s="10">
        <f t="shared" si="13"/>
        <v>124</v>
      </c>
      <c r="C146" s="11">
        <f t="shared" si="14"/>
        <v>363.28125</v>
      </c>
      <c r="D146" s="10">
        <f t="shared" si="15"/>
        <v>17900</v>
      </c>
    </row>
    <row r="147" spans="1:4" x14ac:dyDescent="0.25">
      <c r="A147" s="6">
        <v>180</v>
      </c>
      <c r="B147" s="10">
        <f t="shared" si="13"/>
        <v>119</v>
      </c>
      <c r="C147" s="11">
        <f t="shared" si="14"/>
        <v>348.6328125</v>
      </c>
      <c r="D147" s="10">
        <f t="shared" si="15"/>
        <v>18000</v>
      </c>
    </row>
    <row r="148" spans="1:4" x14ac:dyDescent="0.25">
      <c r="A148" s="6">
        <v>181</v>
      </c>
      <c r="B148" s="10">
        <f t="shared" si="13"/>
        <v>113</v>
      </c>
      <c r="C148" s="11">
        <f t="shared" si="14"/>
        <v>331.0546875</v>
      </c>
      <c r="D148" s="10">
        <f t="shared" si="15"/>
        <v>18100</v>
      </c>
    </row>
    <row r="149" spans="1:4" x14ac:dyDescent="0.25">
      <c r="A149" s="6">
        <v>182</v>
      </c>
      <c r="B149" s="10">
        <f t="shared" si="13"/>
        <v>108</v>
      </c>
      <c r="C149" s="11">
        <f t="shared" si="14"/>
        <v>316.40625</v>
      </c>
      <c r="D149" s="10">
        <f t="shared" si="15"/>
        <v>18200</v>
      </c>
    </row>
    <row r="150" spans="1:4" x14ac:dyDescent="0.25">
      <c r="A150" s="6">
        <v>183</v>
      </c>
      <c r="B150" s="10">
        <f t="shared" si="13"/>
        <v>103</v>
      </c>
      <c r="C150" s="11">
        <f t="shared" si="14"/>
        <v>301.7578125</v>
      </c>
      <c r="D150" s="10">
        <f t="shared" si="15"/>
        <v>18300</v>
      </c>
    </row>
    <row r="151" spans="1:4" x14ac:dyDescent="0.25">
      <c r="A151" s="6">
        <v>184</v>
      </c>
      <c r="B151" s="10">
        <f t="shared" si="13"/>
        <v>97</v>
      </c>
      <c r="C151" s="11">
        <f t="shared" si="14"/>
        <v>284.1796875</v>
      </c>
      <c r="D151" s="10">
        <f t="shared" si="15"/>
        <v>18400</v>
      </c>
    </row>
    <row r="152" spans="1:4" x14ac:dyDescent="0.25">
      <c r="A152" s="6">
        <v>185</v>
      </c>
      <c r="B152" s="10">
        <f t="shared" si="13"/>
        <v>92</v>
      </c>
      <c r="C152" s="11">
        <f t="shared" si="14"/>
        <v>269.53125</v>
      </c>
      <c r="D152" s="10">
        <f t="shared" si="15"/>
        <v>18500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120-1420</vt:lpstr>
      <vt:lpstr>140-1435</vt:lpstr>
      <vt:lpstr>Tarjeta verificacion</vt:lpstr>
      <vt:lpstr>140-1435 (2)</vt:lpstr>
      <vt:lpstr>140-1435 (3)</vt:lpstr>
      <vt:lpstr>40-180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javi rodriguez</cp:lastModifiedBy>
  <dcterms:created xsi:type="dcterms:W3CDTF">2022-12-29T12:17:09Z</dcterms:created>
  <dcterms:modified xsi:type="dcterms:W3CDTF">2025-05-12T07:28:47Z</dcterms:modified>
</cp:coreProperties>
</file>